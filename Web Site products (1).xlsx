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\Desktop\"/>
    </mc:Choice>
  </mc:AlternateContent>
  <xr:revisionPtr revIDLastSave="0" documentId="8_{76D4FF1B-F46D-4F2C-961C-1DEA276857B7}" xr6:coauthVersionLast="47" xr6:coauthVersionMax="47" xr10:uidLastSave="{00000000-0000-0000-0000-000000000000}"/>
  <bookViews>
    <workbookView xWindow="-120" yWindow="-120" windowWidth="20730" windowHeight="11160" xr2:uid="{93C28BE8-CBA2-4AF0-A1E8-8F4C550213D7}"/>
  </bookViews>
  <sheets>
    <sheet name="Consumer 1.4" sheetId="1" r:id="rId1"/>
    <sheet name="Pro Series 1.4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8" i="1" l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39" i="1"/>
  <c r="G138" i="1"/>
  <c r="G128" i="1"/>
  <c r="G127" i="1"/>
  <c r="G126" i="1"/>
  <c r="G125" i="1"/>
  <c r="G124" i="1"/>
  <c r="G123" i="1"/>
  <c r="G122" i="1"/>
  <c r="G121" i="1"/>
  <c r="G119" i="1"/>
  <c r="G118" i="1"/>
  <c r="G117" i="1"/>
  <c r="G116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38" i="1"/>
  <c r="G37" i="1"/>
  <c r="G36" i="1"/>
  <c r="G35" i="1"/>
  <c r="G34" i="1"/>
  <c r="G33" i="1"/>
  <c r="G32" i="1"/>
  <c r="G31" i="1"/>
  <c r="G30" i="1"/>
  <c r="G27" i="1"/>
  <c r="G26" i="1"/>
  <c r="G25" i="1"/>
  <c r="G24" i="1"/>
  <c r="G21" i="1"/>
  <c r="G20" i="1"/>
  <c r="G19" i="1"/>
  <c r="G18" i="1"/>
  <c r="G17" i="1"/>
  <c r="G16" i="1"/>
  <c r="G15" i="1"/>
  <c r="G12" i="1"/>
  <c r="G11" i="1"/>
  <c r="G10" i="1"/>
  <c r="G9" i="1"/>
  <c r="G8" i="1"/>
  <c r="N49" i="2"/>
  <c r="M49" i="2"/>
  <c r="K49" i="2"/>
  <c r="N48" i="2"/>
  <c r="M48" i="2"/>
  <c r="K48" i="2"/>
  <c r="N47" i="2"/>
  <c r="M47" i="2"/>
  <c r="K47" i="2"/>
  <c r="N46" i="2"/>
  <c r="M46" i="2"/>
  <c r="K46" i="2"/>
  <c r="S45" i="2"/>
  <c r="R45" i="2"/>
  <c r="Q45" i="2"/>
  <c r="P45" i="2"/>
  <c r="W45" i="2" s="1"/>
  <c r="K45" i="2"/>
  <c r="N38" i="2"/>
  <c r="O38" i="2" s="1"/>
  <c r="R38" i="2" s="1"/>
  <c r="K38" i="2"/>
  <c r="N44" i="2"/>
  <c r="O44" i="2" s="1"/>
  <c r="K44" i="2"/>
  <c r="N43" i="2"/>
  <c r="O43" i="2" s="1"/>
  <c r="K43" i="2"/>
  <c r="N42" i="2"/>
  <c r="O42" i="2" s="1"/>
  <c r="K42" i="2"/>
  <c r="N41" i="2"/>
  <c r="O41" i="2" s="1"/>
  <c r="K41" i="2"/>
  <c r="N40" i="2"/>
  <c r="O40" i="2" s="1"/>
  <c r="K40" i="2"/>
  <c r="N37" i="2"/>
  <c r="O37" i="2" s="1"/>
  <c r="T37" i="2" s="1"/>
  <c r="K37" i="2"/>
  <c r="N36" i="2"/>
  <c r="O36" i="2" s="1"/>
  <c r="K36" i="2"/>
  <c r="N35" i="2"/>
  <c r="O35" i="2" s="1"/>
  <c r="U35" i="2" s="1"/>
  <c r="K35" i="2"/>
  <c r="N33" i="2"/>
  <c r="O33" i="2" s="1"/>
  <c r="S33" i="2" s="1"/>
  <c r="K33" i="2"/>
  <c r="N32" i="2"/>
  <c r="O32" i="2" s="1"/>
  <c r="K32" i="2"/>
  <c r="N31" i="2"/>
  <c r="O31" i="2" s="1"/>
  <c r="K31" i="2"/>
  <c r="N30" i="2"/>
  <c r="M30" i="2"/>
  <c r="K30" i="2"/>
  <c r="N29" i="2"/>
  <c r="O29" i="2" s="1"/>
  <c r="K29" i="2"/>
  <c r="N28" i="2"/>
  <c r="O28" i="2" s="1"/>
  <c r="K28" i="2"/>
  <c r="N27" i="2"/>
  <c r="O27" i="2" s="1"/>
  <c r="S27" i="2" s="1"/>
  <c r="K27" i="2"/>
  <c r="N26" i="2"/>
  <c r="M26" i="2"/>
  <c r="K26" i="2"/>
  <c r="N25" i="2"/>
  <c r="O25" i="2" s="1"/>
  <c r="K25" i="2"/>
  <c r="N24" i="2"/>
  <c r="M24" i="2"/>
  <c r="K24" i="2"/>
  <c r="N23" i="2"/>
  <c r="O23" i="2" s="1"/>
  <c r="K23" i="2"/>
  <c r="N22" i="2"/>
  <c r="O22" i="2" s="1"/>
  <c r="K22" i="2"/>
  <c r="N21" i="2"/>
  <c r="M21" i="2"/>
  <c r="K21" i="2"/>
  <c r="N20" i="2"/>
  <c r="O20" i="2" s="1"/>
  <c r="K20" i="2"/>
  <c r="N19" i="2"/>
  <c r="M19" i="2"/>
  <c r="K19" i="2"/>
  <c r="N18" i="2"/>
  <c r="M18" i="2"/>
  <c r="K18" i="2"/>
  <c r="N17" i="2"/>
  <c r="O17" i="2" s="1"/>
  <c r="P17" i="2" s="1"/>
  <c r="W17" i="2" s="1"/>
  <c r="K17" i="2"/>
  <c r="N16" i="2"/>
  <c r="O16" i="2" s="1"/>
  <c r="K16" i="2"/>
  <c r="N15" i="2"/>
  <c r="O15" i="2" s="1"/>
  <c r="K15" i="2"/>
  <c r="N14" i="2"/>
  <c r="M14" i="2"/>
  <c r="K14" i="2"/>
  <c r="N13" i="2"/>
  <c r="M13" i="2"/>
  <c r="K13" i="2"/>
  <c r="N12" i="2"/>
  <c r="M12" i="2"/>
  <c r="K12" i="2"/>
  <c r="N11" i="2"/>
  <c r="O11" i="2" s="1"/>
  <c r="Q11" i="2" s="1"/>
  <c r="K11" i="2"/>
  <c r="N9" i="2"/>
  <c r="M9" i="2"/>
  <c r="K9" i="2"/>
  <c r="N8" i="2"/>
  <c r="M8" i="2"/>
  <c r="K8" i="2"/>
  <c r="N7" i="2"/>
  <c r="M7" i="2"/>
  <c r="K7" i="2"/>
  <c r="N6" i="2"/>
  <c r="O6" i="2" s="1"/>
  <c r="S6" i="2" s="1"/>
  <c r="K6" i="2"/>
  <c r="N5" i="2"/>
  <c r="O5" i="2" s="1"/>
  <c r="K5" i="2"/>
  <c r="N4" i="2"/>
  <c r="M4" i="2"/>
  <c r="K4" i="2"/>
  <c r="O46" i="2" l="1"/>
  <c r="O21" i="2"/>
  <c r="Q21" i="2" s="1"/>
  <c r="O26" i="2"/>
  <c r="T26" i="2" s="1"/>
  <c r="O8" i="2"/>
  <c r="R8" i="2" s="1"/>
  <c r="S17" i="2"/>
  <c r="O13" i="2"/>
  <c r="R13" i="2" s="1"/>
  <c r="O24" i="2"/>
  <c r="R24" i="2" s="1"/>
  <c r="R6" i="2"/>
  <c r="O48" i="2"/>
  <c r="R48" i="2" s="1"/>
  <c r="O12" i="2"/>
  <c r="P12" i="2" s="1"/>
  <c r="O4" i="2"/>
  <c r="T4" i="2" s="1"/>
  <c r="R27" i="2"/>
  <c r="U38" i="2"/>
  <c r="Q6" i="2"/>
  <c r="O14" i="2"/>
  <c r="T14" i="2" s="1"/>
  <c r="Q17" i="2"/>
  <c r="Q27" i="2"/>
  <c r="O30" i="2"/>
  <c r="U30" i="2" s="1"/>
  <c r="O47" i="2"/>
  <c r="U47" i="2" s="1"/>
  <c r="S28" i="2"/>
  <c r="Q28" i="2"/>
  <c r="P28" i="2"/>
  <c r="X28" i="2" s="1"/>
  <c r="T28" i="2"/>
  <c r="U28" i="2"/>
  <c r="S25" i="2"/>
  <c r="T25" i="2"/>
  <c r="T46" i="2"/>
  <c r="S46" i="2"/>
  <c r="P46" i="2"/>
  <c r="X46" i="2" s="1"/>
  <c r="P32" i="2"/>
  <c r="X32" i="2" s="1"/>
  <c r="T32" i="2"/>
  <c r="S32" i="2"/>
  <c r="S42" i="2"/>
  <c r="Q42" i="2"/>
  <c r="U42" i="2"/>
  <c r="T42" i="2"/>
  <c r="P42" i="2"/>
  <c r="X42" i="2" s="1"/>
  <c r="S31" i="2"/>
  <c r="U31" i="2"/>
  <c r="T31" i="2"/>
  <c r="Q31" i="2"/>
  <c r="P31" i="2"/>
  <c r="Y31" i="2" s="1"/>
  <c r="S36" i="2"/>
  <c r="Q36" i="2"/>
  <c r="P36" i="2"/>
  <c r="Y36" i="2" s="1"/>
  <c r="U36" i="2"/>
  <c r="T36" i="2"/>
  <c r="O7" i="2"/>
  <c r="P7" i="2" s="1"/>
  <c r="X7" i="2" s="1"/>
  <c r="O9" i="2"/>
  <c r="R9" i="2" s="1"/>
  <c r="Q35" i="2"/>
  <c r="U6" i="2"/>
  <c r="X45" i="2"/>
  <c r="U27" i="2"/>
  <c r="Q38" i="2"/>
  <c r="P6" i="2"/>
  <c r="V6" i="2" s="1"/>
  <c r="O19" i="2"/>
  <c r="R19" i="2" s="1"/>
  <c r="P27" i="2"/>
  <c r="X27" i="2" s="1"/>
  <c r="Y45" i="2"/>
  <c r="T5" i="2"/>
  <c r="P5" i="2"/>
  <c r="Q5" i="2"/>
  <c r="U5" i="2"/>
  <c r="S5" i="2"/>
  <c r="U23" i="2"/>
  <c r="Q23" i="2"/>
  <c r="R23" i="2"/>
  <c r="S23" i="2"/>
  <c r="P23" i="2"/>
  <c r="T23" i="2"/>
  <c r="R5" i="2"/>
  <c r="T16" i="2"/>
  <c r="P16" i="2"/>
  <c r="Q16" i="2"/>
  <c r="U16" i="2"/>
  <c r="S16" i="2"/>
  <c r="U15" i="2"/>
  <c r="Q15" i="2"/>
  <c r="S15" i="2"/>
  <c r="R15" i="2"/>
  <c r="P15" i="2"/>
  <c r="R16" i="2"/>
  <c r="V17" i="2"/>
  <c r="Y17" i="2"/>
  <c r="X17" i="2"/>
  <c r="U20" i="2"/>
  <c r="Q20" i="2"/>
  <c r="R20" i="2"/>
  <c r="T20" i="2"/>
  <c r="S20" i="2"/>
  <c r="P20" i="2"/>
  <c r="T11" i="2"/>
  <c r="P11" i="2"/>
  <c r="U11" i="2"/>
  <c r="S11" i="2"/>
  <c r="R11" i="2"/>
  <c r="T15" i="2"/>
  <c r="R22" i="2"/>
  <c r="U22" i="2"/>
  <c r="P22" i="2"/>
  <c r="R29" i="2"/>
  <c r="U29" i="2"/>
  <c r="Q29" i="2"/>
  <c r="P29" i="2"/>
  <c r="U40" i="2"/>
  <c r="Q40" i="2"/>
  <c r="T40" i="2"/>
  <c r="P40" i="2"/>
  <c r="R40" i="2"/>
  <c r="U44" i="2"/>
  <c r="Q44" i="2"/>
  <c r="T44" i="2"/>
  <c r="P44" i="2"/>
  <c r="S44" i="2"/>
  <c r="Q22" i="2"/>
  <c r="S29" i="2"/>
  <c r="S40" i="2"/>
  <c r="T41" i="2"/>
  <c r="P41" i="2"/>
  <c r="S41" i="2"/>
  <c r="U41" i="2"/>
  <c r="R43" i="2"/>
  <c r="U43" i="2"/>
  <c r="Q43" i="2"/>
  <c r="S43" i="2"/>
  <c r="R44" i="2"/>
  <c r="S22" i="2"/>
  <c r="R25" i="2"/>
  <c r="U25" i="2"/>
  <c r="P25" i="2"/>
  <c r="T29" i="2"/>
  <c r="U33" i="2"/>
  <c r="Q33" i="2"/>
  <c r="T33" i="2"/>
  <c r="P33" i="2"/>
  <c r="R37" i="2"/>
  <c r="U37" i="2"/>
  <c r="Q37" i="2"/>
  <c r="P37" i="2"/>
  <c r="Q41" i="2"/>
  <c r="P43" i="2"/>
  <c r="T6" i="2"/>
  <c r="R17" i="2"/>
  <c r="T17" i="2"/>
  <c r="U17" i="2"/>
  <c r="O18" i="2"/>
  <c r="T22" i="2"/>
  <c r="Q25" i="2"/>
  <c r="R33" i="2"/>
  <c r="T35" i="2"/>
  <c r="P35" i="2"/>
  <c r="S35" i="2"/>
  <c r="R35" i="2"/>
  <c r="S37" i="2"/>
  <c r="R41" i="2"/>
  <c r="T43" i="2"/>
  <c r="T27" i="2"/>
  <c r="R32" i="2"/>
  <c r="U32" i="2"/>
  <c r="Q32" i="2"/>
  <c r="T38" i="2"/>
  <c r="P38" i="2"/>
  <c r="S38" i="2"/>
  <c r="R46" i="2"/>
  <c r="U46" i="2"/>
  <c r="Q46" i="2"/>
  <c r="O49" i="2"/>
  <c r="R28" i="2"/>
  <c r="R31" i="2"/>
  <c r="R36" i="2"/>
  <c r="R42" i="2"/>
  <c r="R21" i="2" l="1"/>
  <c r="Q30" i="2"/>
  <c r="T21" i="2"/>
  <c r="Q26" i="2"/>
  <c r="P26" i="2"/>
  <c r="W26" i="2" s="1"/>
  <c r="U21" i="2"/>
  <c r="S21" i="2"/>
  <c r="Q13" i="2"/>
  <c r="U26" i="2"/>
  <c r="S26" i="2"/>
  <c r="R26" i="2"/>
  <c r="V27" i="2"/>
  <c r="P21" i="2"/>
  <c r="V21" i="2" s="1"/>
  <c r="V36" i="2"/>
  <c r="P8" i="2"/>
  <c r="W8" i="2" s="1"/>
  <c r="U8" i="2"/>
  <c r="Y46" i="2"/>
  <c r="Q8" i="2"/>
  <c r="T8" i="2"/>
  <c r="S8" i="2"/>
  <c r="T13" i="2"/>
  <c r="W31" i="2"/>
  <c r="Y28" i="2"/>
  <c r="Q24" i="2"/>
  <c r="S30" i="2"/>
  <c r="S13" i="2"/>
  <c r="V42" i="2"/>
  <c r="U13" i="2"/>
  <c r="R12" i="2"/>
  <c r="T48" i="2"/>
  <c r="U14" i="2"/>
  <c r="R4" i="2"/>
  <c r="Q14" i="2"/>
  <c r="U24" i="2"/>
  <c r="S24" i="2"/>
  <c r="S12" i="2"/>
  <c r="T7" i="2"/>
  <c r="X31" i="2"/>
  <c r="S47" i="2"/>
  <c r="P24" i="2"/>
  <c r="Y24" i="2" s="1"/>
  <c r="W27" i="2"/>
  <c r="T24" i="2"/>
  <c r="P13" i="2"/>
  <c r="W13" i="2" s="1"/>
  <c r="U12" i="2"/>
  <c r="Q48" i="2"/>
  <c r="V46" i="2"/>
  <c r="W42" i="2"/>
  <c r="P48" i="2"/>
  <c r="Y48" i="2" s="1"/>
  <c r="U48" i="2"/>
  <c r="Y42" i="2"/>
  <c r="V31" i="2"/>
  <c r="S48" i="2"/>
  <c r="W46" i="2"/>
  <c r="Y27" i="2"/>
  <c r="S7" i="2"/>
  <c r="Y6" i="2"/>
  <c r="Y7" i="2"/>
  <c r="S14" i="2"/>
  <c r="Q19" i="2"/>
  <c r="P47" i="2"/>
  <c r="W47" i="2" s="1"/>
  <c r="P14" i="2"/>
  <c r="X14" i="2" s="1"/>
  <c r="S4" i="2"/>
  <c r="R14" i="2"/>
  <c r="R30" i="2"/>
  <c r="T47" i="2"/>
  <c r="Y32" i="2"/>
  <c r="P30" i="2"/>
  <c r="W30" i="2" s="1"/>
  <c r="V28" i="2"/>
  <c r="Y21" i="2"/>
  <c r="Q12" i="2"/>
  <c r="Q4" i="2"/>
  <c r="T12" i="2"/>
  <c r="Q9" i="2"/>
  <c r="V32" i="2"/>
  <c r="T30" i="2"/>
  <c r="P4" i="2"/>
  <c r="V4" i="2" s="1"/>
  <c r="U4" i="2"/>
  <c r="X6" i="2"/>
  <c r="Q47" i="2"/>
  <c r="R47" i="2"/>
  <c r="W36" i="2"/>
  <c r="P19" i="2"/>
  <c r="Y19" i="2" s="1"/>
  <c r="T9" i="2"/>
  <c r="U9" i="2"/>
  <c r="X36" i="2"/>
  <c r="W28" i="2"/>
  <c r="S19" i="2"/>
  <c r="U19" i="2"/>
  <c r="Q7" i="2"/>
  <c r="S9" i="2"/>
  <c r="P9" i="2"/>
  <c r="X9" i="2" s="1"/>
  <c r="V7" i="2"/>
  <c r="W6" i="2"/>
  <c r="W7" i="2"/>
  <c r="W32" i="2"/>
  <c r="T19" i="2"/>
  <c r="R7" i="2"/>
  <c r="U7" i="2"/>
  <c r="Y44" i="2"/>
  <c r="X44" i="2"/>
  <c r="W44" i="2"/>
  <c r="V44" i="2"/>
  <c r="Y20" i="2"/>
  <c r="W20" i="2"/>
  <c r="V20" i="2"/>
  <c r="X20" i="2"/>
  <c r="X16" i="2"/>
  <c r="V16" i="2"/>
  <c r="Y16" i="2"/>
  <c r="W16" i="2"/>
  <c r="V12" i="2"/>
  <c r="Y12" i="2"/>
  <c r="X12" i="2"/>
  <c r="W12" i="2"/>
  <c r="V37" i="2"/>
  <c r="Y37" i="2"/>
  <c r="X37" i="2"/>
  <c r="W37" i="2"/>
  <c r="Y33" i="2"/>
  <c r="X33" i="2"/>
  <c r="W33" i="2"/>
  <c r="V33" i="2"/>
  <c r="Y40" i="2"/>
  <c r="X40" i="2"/>
  <c r="W40" i="2"/>
  <c r="V40" i="2"/>
  <c r="V29" i="2"/>
  <c r="Y29" i="2"/>
  <c r="X29" i="2"/>
  <c r="W29" i="2"/>
  <c r="V26" i="2"/>
  <c r="X11" i="2"/>
  <c r="Y11" i="2"/>
  <c r="W11" i="2"/>
  <c r="V11" i="2"/>
  <c r="T49" i="2"/>
  <c r="P49" i="2"/>
  <c r="S49" i="2"/>
  <c r="U49" i="2"/>
  <c r="R49" i="2"/>
  <c r="Q49" i="2"/>
  <c r="X35" i="2"/>
  <c r="W35" i="2"/>
  <c r="Y35" i="2"/>
  <c r="V35" i="2"/>
  <c r="V43" i="2"/>
  <c r="Y43" i="2"/>
  <c r="X43" i="2"/>
  <c r="W43" i="2"/>
  <c r="X41" i="2"/>
  <c r="W41" i="2"/>
  <c r="Y41" i="2"/>
  <c r="V41" i="2"/>
  <c r="V22" i="2"/>
  <c r="Y22" i="2"/>
  <c r="X22" i="2"/>
  <c r="W22" i="2"/>
  <c r="Y15" i="2"/>
  <c r="X15" i="2"/>
  <c r="W15" i="2"/>
  <c r="V15" i="2"/>
  <c r="X5" i="2"/>
  <c r="V5" i="2"/>
  <c r="Y5" i="2"/>
  <c r="W5" i="2"/>
  <c r="X38" i="2"/>
  <c r="W38" i="2"/>
  <c r="V38" i="2"/>
  <c r="Y38" i="2"/>
  <c r="T18" i="2"/>
  <c r="P18" i="2"/>
  <c r="U18" i="2"/>
  <c r="S18" i="2"/>
  <c r="R18" i="2"/>
  <c r="Q18" i="2"/>
  <c r="V25" i="2"/>
  <c r="X25" i="2"/>
  <c r="W25" i="2"/>
  <c r="Y25" i="2"/>
  <c r="Y23" i="2"/>
  <c r="W23" i="2"/>
  <c r="X23" i="2"/>
  <c r="V23" i="2"/>
  <c r="Y26" i="2" l="1"/>
  <c r="X26" i="2"/>
  <c r="X21" i="2"/>
  <c r="W4" i="2"/>
  <c r="V48" i="2"/>
  <c r="X8" i="2"/>
  <c r="Y8" i="2"/>
  <c r="W21" i="2"/>
  <c r="V8" i="2"/>
  <c r="W24" i="2"/>
  <c r="V24" i="2"/>
  <c r="X24" i="2"/>
  <c r="V9" i="2"/>
  <c r="Y13" i="2"/>
  <c r="X19" i="2"/>
  <c r="X30" i="2"/>
  <c r="X47" i="2"/>
  <c r="X4" i="2"/>
  <c r="Y14" i="2"/>
  <c r="W14" i="2"/>
  <c r="V13" i="2"/>
  <c r="X13" i="2"/>
  <c r="W19" i="2"/>
  <c r="V30" i="2"/>
  <c r="W9" i="2"/>
  <c r="Y47" i="2"/>
  <c r="W48" i="2"/>
  <c r="V19" i="2"/>
  <c r="Y30" i="2"/>
  <c r="Y9" i="2"/>
  <c r="V47" i="2"/>
  <c r="X48" i="2"/>
  <c r="Y4" i="2"/>
  <c r="V14" i="2"/>
  <c r="X49" i="2"/>
  <c r="W49" i="2"/>
  <c r="Y49" i="2"/>
  <c r="V49" i="2"/>
  <c r="X18" i="2"/>
  <c r="Y18" i="2"/>
  <c r="W18" i="2"/>
  <c r="V18" i="2"/>
</calcChain>
</file>

<file path=xl/sharedStrings.xml><?xml version="1.0" encoding="utf-8"?>
<sst xmlns="http://schemas.openxmlformats.org/spreadsheetml/2006/main" count="394" uniqueCount="335">
  <si>
    <t>ITEM #</t>
  </si>
  <si>
    <t>Discription</t>
  </si>
  <si>
    <t>Pack/case</t>
  </si>
  <si>
    <t>CBM</t>
  </si>
  <si>
    <t>Cases OH</t>
  </si>
  <si>
    <t>Cost</t>
  </si>
  <si>
    <t>Frieght</t>
  </si>
  <si>
    <t>Total Cost</t>
  </si>
  <si>
    <t>MU 1.25C</t>
  </si>
  <si>
    <t>MU 1.5 C</t>
  </si>
  <si>
    <t>MU 1.75 C</t>
  </si>
  <si>
    <t xml:space="preserve">Sales </t>
  </si>
  <si>
    <t>Pack/Case</t>
  </si>
  <si>
    <t>On Hand</t>
  </si>
  <si>
    <t>Price Ea.</t>
  </si>
  <si>
    <t>On Order</t>
  </si>
  <si>
    <t>Smile Tkt</t>
  </si>
  <si>
    <t>Fredom Rings</t>
  </si>
  <si>
    <t>Space Falcon</t>
  </si>
  <si>
    <t>Ghost Star</t>
  </si>
  <si>
    <t>Ghost Strobing Rocket</t>
  </si>
  <si>
    <t>Princes Skydive</t>
  </si>
  <si>
    <t>Patriotic Skydive</t>
  </si>
  <si>
    <t>Break Of Dawn 24/4</t>
  </si>
  <si>
    <t>Thunder Mainia</t>
  </si>
  <si>
    <t>Master Blaster</t>
  </si>
  <si>
    <t xml:space="preserve">10 Ball </t>
  </si>
  <si>
    <t>10 Ball Crackling Candle 24/6</t>
  </si>
  <si>
    <t>Into The Blue 240s</t>
  </si>
  <si>
    <t>Military Parachute</t>
  </si>
  <si>
    <t>Princes Parachute</t>
  </si>
  <si>
    <t>Sharkbite</t>
  </si>
  <si>
    <t>American Arival</t>
  </si>
  <si>
    <t>Broken Heart 8s</t>
  </si>
  <si>
    <t>Moody Blue 12s</t>
  </si>
  <si>
    <t>Smoke Dragon 16s</t>
  </si>
  <si>
    <t>Smoky Bandit 94s</t>
  </si>
  <si>
    <t>Pirates Invasion 23s</t>
  </si>
  <si>
    <t>Top Maverick 25s</t>
  </si>
  <si>
    <t>5182A</t>
  </si>
  <si>
    <t>Pyro Pilot 25s</t>
  </si>
  <si>
    <t>Cyclone Warning 20s</t>
  </si>
  <si>
    <t>Mamba Forever</t>
  </si>
  <si>
    <t>Hard Claw 16's</t>
  </si>
  <si>
    <t>Vibe Check</t>
  </si>
  <si>
    <t>Taco Truck</t>
  </si>
  <si>
    <t>Skee Ball 15s</t>
  </si>
  <si>
    <t>Blueee 17s</t>
  </si>
  <si>
    <t>Dope 16s</t>
  </si>
  <si>
    <t>Pig &amp; Whistle 18s</t>
  </si>
  <si>
    <t>Robo Bee 10s</t>
  </si>
  <si>
    <t>Die Hard 10s</t>
  </si>
  <si>
    <t>Taequila Mockingbird 7s</t>
  </si>
  <si>
    <t>Occuy Bars 19s</t>
  </si>
  <si>
    <t>Zombie Bus 16s</t>
  </si>
  <si>
    <t xml:space="preserve">MAGA 250 </t>
  </si>
  <si>
    <t>Addicted to Loud 9s</t>
  </si>
  <si>
    <t>Yin Yang 9s</t>
  </si>
  <si>
    <t>All In 51's</t>
  </si>
  <si>
    <t>Pandamonium 142s</t>
  </si>
  <si>
    <t>Ghost Shell 9s</t>
  </si>
  <si>
    <t>Lace Impulse</t>
  </si>
  <si>
    <t>Boy or Girl (Blue)</t>
  </si>
  <si>
    <t>Boy Or Girl (Pink)</t>
  </si>
  <si>
    <t>Artistic Pyro</t>
  </si>
  <si>
    <t>Man Cave 36s</t>
  </si>
  <si>
    <t>Crown Kiku 22</t>
  </si>
  <si>
    <t>Spider Nebula 21</t>
  </si>
  <si>
    <t>Sprinkle Dougnuts</t>
  </si>
  <si>
    <t>Bullet Blossoms</t>
  </si>
  <si>
    <t>Banana Split 13s</t>
  </si>
  <si>
    <t>Patriotic Sky Buster</t>
  </si>
  <si>
    <t>Front Row Seats</t>
  </si>
  <si>
    <t>Shacken Not Stired 118s</t>
  </si>
  <si>
    <t>Ghost Fleet 9s</t>
  </si>
  <si>
    <t>Dripping Dognut 33s</t>
  </si>
  <si>
    <t>Country Roots 25s</t>
  </si>
  <si>
    <t>Saturn Missile 100s</t>
  </si>
  <si>
    <t>5604C</t>
  </si>
  <si>
    <t>Saturn Missile 200s</t>
  </si>
  <si>
    <t>5604E</t>
  </si>
  <si>
    <t>Saturn Missile 300s</t>
  </si>
  <si>
    <t>Poppin Pineapple 27s</t>
  </si>
  <si>
    <t>Bulldog Dash 34s</t>
  </si>
  <si>
    <t>Fierce Royalty 61s</t>
  </si>
  <si>
    <t>Titan Strong 30s</t>
  </si>
  <si>
    <t>250 Paratroppers</t>
  </si>
  <si>
    <t>Smoke Master 30s</t>
  </si>
  <si>
    <t>Rounders 25's</t>
  </si>
  <si>
    <t>1 Minute Ride 42s</t>
  </si>
  <si>
    <t>Pool Party 32s</t>
  </si>
  <si>
    <t>Echo In The Ear</t>
  </si>
  <si>
    <t xml:space="preserve">G-Force </t>
  </si>
  <si>
    <t>8042A</t>
  </si>
  <si>
    <t>Neon Brawn</t>
  </si>
  <si>
    <t>Rainfire</t>
  </si>
  <si>
    <t>Black Site</t>
  </si>
  <si>
    <t>8047A</t>
  </si>
  <si>
    <t>Road Rage 72s</t>
  </si>
  <si>
    <t>Dr Shell</t>
  </si>
  <si>
    <t>8049S</t>
  </si>
  <si>
    <t>Porcupine Planet 55s</t>
  </si>
  <si>
    <t>Fish Tank</t>
  </si>
  <si>
    <t>Raise The Dead (7 Inch)</t>
  </si>
  <si>
    <t>T716</t>
  </si>
  <si>
    <t>40/16</t>
  </si>
  <si>
    <t>T733</t>
  </si>
  <si>
    <t>16/1000</t>
  </si>
  <si>
    <t>T734</t>
  </si>
  <si>
    <t>8/2000</t>
  </si>
  <si>
    <t>T735</t>
  </si>
  <si>
    <t>4/4000</t>
  </si>
  <si>
    <t>T736</t>
  </si>
  <si>
    <t>2/8000</t>
  </si>
  <si>
    <t>T737</t>
  </si>
  <si>
    <t>*1/16000</t>
  </si>
  <si>
    <t>W515B</t>
  </si>
  <si>
    <t>Artillery Shell W515B</t>
  </si>
  <si>
    <t>W518A</t>
  </si>
  <si>
    <t>W520</t>
  </si>
  <si>
    <t>Item</t>
  </si>
  <si>
    <t>Caliber      mm</t>
  </si>
  <si>
    <t>Shots</t>
  </si>
  <si>
    <t>Duration</t>
  </si>
  <si>
    <t>Total Cost Per Case</t>
  </si>
  <si>
    <t>Price  Case</t>
  </si>
  <si>
    <t>MU 2.25 Case</t>
  </si>
  <si>
    <t>Price Piece</t>
  </si>
  <si>
    <t>MU 2.5 Piece</t>
  </si>
  <si>
    <t>MU 2.75 Piece</t>
  </si>
  <si>
    <t>MU 3.0 Piece</t>
  </si>
  <si>
    <t>Price Case</t>
  </si>
  <si>
    <t>PCA004</t>
  </si>
  <si>
    <t>WPL14CA225-01-A</t>
  </si>
  <si>
    <t xml:space="preserve">  225s Salute w/color tails</t>
  </si>
  <si>
    <t>PCA008</t>
  </si>
  <si>
    <t>WPL16CA225-01-A</t>
  </si>
  <si>
    <t xml:space="preserve">  225s Red/Green/Blue to Time Rain</t>
  </si>
  <si>
    <t>PCA009</t>
  </si>
  <si>
    <t>WPL16CA225-01-D</t>
  </si>
  <si>
    <t xml:space="preserve">  225s Gold Strobe Willow Tail &amp; Blue</t>
  </si>
  <si>
    <t>PCA 010</t>
  </si>
  <si>
    <t>PCA011</t>
  </si>
  <si>
    <t>225s Fan Shape</t>
  </si>
  <si>
    <t>WPL16CA225-03-A</t>
  </si>
  <si>
    <t xml:space="preserve">  225s Fan Shape Brocade Tail &amp; Blue</t>
  </si>
  <si>
    <t>PCA012</t>
  </si>
  <si>
    <t>225s Green Strobe</t>
  </si>
  <si>
    <t>WPL16CA225-04-A</t>
  </si>
  <si>
    <t xml:space="preserve"> 225s Green Strobe Tail With Purple Tips</t>
  </si>
  <si>
    <t>PCA042</t>
  </si>
  <si>
    <t>WPL20CA66-01-A</t>
  </si>
  <si>
    <t>PCA044</t>
  </si>
  <si>
    <t>Zigzag Fan 30 Shot</t>
  </si>
  <si>
    <t>WPL25CA30-01-A</t>
  </si>
  <si>
    <t xml:space="preserve"> 30s Z Shape Red Strobe Tail to Thunder</t>
  </si>
  <si>
    <t>PCA045</t>
  </si>
  <si>
    <t>WPL25CA30-01-B</t>
  </si>
  <si>
    <t>Z Shape Brocade Tail To Brocde With Green Strobe</t>
  </si>
  <si>
    <t>PCA054</t>
  </si>
  <si>
    <t>Straight Whistle King 36s</t>
  </si>
  <si>
    <t>WPL25CA36-01-A</t>
  </si>
  <si>
    <t xml:space="preserve">  36s Straight Whistleing To Thunder</t>
  </si>
  <si>
    <t>PCA057</t>
  </si>
  <si>
    <t>Straight Break 49 Shot</t>
  </si>
  <si>
    <t>WPL25CA49-01-A</t>
  </si>
  <si>
    <t xml:space="preserve">  Staight Brocade Mine to Brocade Crown </t>
  </si>
  <si>
    <t>PCA058</t>
  </si>
  <si>
    <t>WPL25CA49-01-B</t>
  </si>
  <si>
    <t>Straight Blue Tail To Flower Crown With Red/Blue</t>
  </si>
  <si>
    <t>PCA061</t>
  </si>
  <si>
    <t>Z Shape Silver Whirl</t>
  </si>
  <si>
    <t>WPL25CA81-01-B</t>
  </si>
  <si>
    <t xml:space="preserve"> Z Shape Silver Whirl Tail to  Blue &amp; Red lace</t>
  </si>
  <si>
    <t>PCA062</t>
  </si>
  <si>
    <t>81s Z Shape</t>
  </si>
  <si>
    <t>WPL25CA81-01-C</t>
  </si>
  <si>
    <t xml:space="preserve"> 81s Z Shape Blue Tail Nishiki Willow CP</t>
  </si>
  <si>
    <t>PCA066</t>
  </si>
  <si>
    <t>WPL25CA81-01-E</t>
  </si>
  <si>
    <t xml:space="preserve"> 81s  Z Shape Brocade Crown w/Color Falling Leaves</t>
  </si>
  <si>
    <t>PCA067</t>
  </si>
  <si>
    <t>PEACOCK 81 Shot</t>
  </si>
  <si>
    <t>X Shape Red/Green/Blue Tail to White Strobe W/ Green/PurplsOrange Dahlias</t>
  </si>
  <si>
    <t>PCA073</t>
  </si>
  <si>
    <t>Fan Shape 49s</t>
  </si>
  <si>
    <t>WPL30CA49-01-A</t>
  </si>
  <si>
    <t xml:space="preserve">  49s Fan Shape Brocade Mine To Brocade</t>
  </si>
  <si>
    <t>PCA077</t>
  </si>
  <si>
    <t>Zigzag Splitting 49s</t>
  </si>
  <si>
    <t>WPL30CA49-02-C</t>
  </si>
  <si>
    <t>49s Z Shape Gold Horse Tail w/Blue Pearls</t>
  </si>
  <si>
    <t>PCA081</t>
  </si>
  <si>
    <t>WPL30CA49-04-A</t>
  </si>
  <si>
    <t>49s Gold Crackling Tail to Ti-Gold Palm w/Green Strobe BluePistil</t>
  </si>
  <si>
    <t>PCA082</t>
  </si>
  <si>
    <t>WPL30CA49-04-B</t>
  </si>
  <si>
    <t xml:space="preserve"> 49s Straight Green Strobe Mine Red Tail to Time Rain Willow w/Red Strobe</t>
  </si>
  <si>
    <t>PCA086</t>
  </si>
  <si>
    <t>WPL30CA49-04-F</t>
  </si>
  <si>
    <t>49s Straight Brocade Tail to Gold Pine w/Red/Green Blue</t>
  </si>
  <si>
    <t>PCA087</t>
  </si>
  <si>
    <t>WPL30CA49-04-G</t>
  </si>
  <si>
    <t xml:space="preserve">  49s Straight Nishiki Willow with Gold Rain</t>
  </si>
  <si>
    <t>PCA088</t>
  </si>
  <si>
    <t>WPL30CA49-04-H</t>
  </si>
  <si>
    <t>49s Straight Gold to Brocade w/Teal/Purple/Orange/Blue Dahlia</t>
  </si>
  <si>
    <t>PCA095</t>
  </si>
  <si>
    <t>WPL30CA49-07-H</t>
  </si>
  <si>
    <t>49s Straight Gold Glittering Tail to Glittering Crossette</t>
  </si>
  <si>
    <t>PCA099</t>
  </si>
  <si>
    <t>50 MM Ball Shell 16s</t>
  </si>
  <si>
    <t>WPL50CA16=01-C</t>
  </si>
  <si>
    <t>16s Brocade Crown w/Color Falling Leaves</t>
  </si>
  <si>
    <t>PCA101</t>
  </si>
  <si>
    <t>Fan Shape 42s</t>
  </si>
  <si>
    <t>WPL42s Fan Shape Blue to Red Strobe with Blue to Red Strobe Mines</t>
  </si>
  <si>
    <t xml:space="preserve">PCA106 </t>
  </si>
  <si>
    <t>W Shapt 81 Shot</t>
  </si>
  <si>
    <t>81s W Shape Brocade Tail to Brocade Crown w/Red and Blue</t>
  </si>
  <si>
    <t>PCA107</t>
  </si>
  <si>
    <t>W Shape 81 Shot</t>
  </si>
  <si>
    <t>81s W Shape Gold Willow Tail to Silver Spider w/Gold Scattering</t>
  </si>
  <si>
    <t>PCA108</t>
  </si>
  <si>
    <t>81s W Shape Red Tail to Gold Willow to Red Lace</t>
  </si>
  <si>
    <t>PCA116</t>
  </si>
  <si>
    <t xml:space="preserve">16s Gold Willow </t>
  </si>
  <si>
    <t>16s Gold Willow to Silver Wave w/Red  Strobe/blue Pearl/Gold lace/White lace</t>
  </si>
  <si>
    <t>PCA117</t>
  </si>
  <si>
    <t>16s Double Ring Gold Chris</t>
  </si>
  <si>
    <t>16s Double Ring Gold Chrys w/Blue</t>
  </si>
  <si>
    <t>PCA118</t>
  </si>
  <si>
    <t>16s Gold Willow</t>
  </si>
  <si>
    <t>16s Gold Willow w/Red Wave/Green Wave/Purple Wave/Blue Wave</t>
  </si>
  <si>
    <t>PCA119</t>
  </si>
  <si>
    <t>Compound Cakes:</t>
  </si>
  <si>
    <t>30/25/20</t>
  </si>
  <si>
    <r>
      <rPr>
        <b/>
        <sz val="11"/>
        <color theme="1"/>
        <rFont val="Calibri"/>
        <family val="2"/>
        <scheme val="minor"/>
      </rPr>
      <t>Cake 1.</t>
    </r>
    <r>
      <rPr>
        <sz val="11"/>
        <color theme="1"/>
        <rFont val="Calibri"/>
        <family val="2"/>
        <scheme val="minor"/>
      </rPr>
      <t xml:space="preserve"> 66s Mixed Shape, Gold Crown w/Red and Blue; Gold Crown w/Red/Blue Palm:Ti-Gold Willow w/Red amd Blue; Gold Palm w/blue/White and red Strobe;Gold Cro0wn w/Red Tip Spiders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Cake 2</t>
    </r>
    <r>
      <rPr>
        <sz val="11"/>
        <color theme="1"/>
        <rFont val="Calibri"/>
        <family val="2"/>
        <scheme val="minor"/>
      </rPr>
      <t xml:space="preserve">. 66s Mixed Shape; Red Whistle Tail to Chrys. And Blue, green Whistle Tail to Gold Willow w/Red Strobe; Gold Palm To Silver Palm w/Red amd Green Strobe; Gold Willow to Red Blue Orange ; Red to Brocade Crown w/White Strobe; Green to Brocade Crown w/Red Strobe;Blue to Brocade Crown w/Gold Strobe; Gold Palm to  Silver Plam+Gold Chrys.                                </t>
    </r>
    <r>
      <rPr>
        <b/>
        <sz val="11"/>
        <color theme="1"/>
        <rFont val="Calibri"/>
        <family val="2"/>
        <scheme val="minor"/>
      </rPr>
      <t xml:space="preserve">Cake 3. </t>
    </r>
    <r>
      <rPr>
        <sz val="11"/>
        <color theme="1"/>
        <rFont val="Calibri"/>
        <family val="2"/>
        <scheme val="minor"/>
      </rPr>
      <t xml:space="preserve">66s Mixed Shape; Gold ScatteringMine, Silver Scattering w/Pech Mine; Brocade Crown+Red Plam, Flower Crown w/Red/Green/Sky Blue/Yellow; Red Tip Flower Wave+Blue w.White Strobe: Green Tip Flower Waave+lue w/Green Strobe: Golden Pine and Crackle.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Cake 4</t>
    </r>
    <r>
      <rPr>
        <sz val="11"/>
        <color theme="1"/>
        <rFont val="Calibri"/>
        <family val="2"/>
        <scheme val="minor"/>
      </rPr>
      <t>. 66s Mixed Shape, Red/Green Crossette; Gold Willow to Red Lace/White lace; Gold Scattering w/Red Green Blue; Silver Scattering w/Red/Green/Strobe; Gold Palm+Red/Green.Blue Moving Fireflies w/Green/Red/Gold Strobe; Gold Spider w/Sky Blue</t>
    </r>
  </si>
  <si>
    <t>PCA120</t>
  </si>
  <si>
    <t>50/25</t>
  </si>
  <si>
    <r>
      <t>Cake 1.</t>
    </r>
    <r>
      <rPr>
        <sz val="11"/>
        <color theme="1"/>
        <rFont val="Calibri"/>
        <family val="2"/>
        <scheme val="minor"/>
      </rPr>
      <t xml:space="preserve"> 16s Gold Willow Tail to Flower Crown+Blue/Green/Purple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Cake2. </t>
    </r>
    <r>
      <rPr>
        <sz val="11"/>
        <color theme="1"/>
        <rFont val="Calibri"/>
        <family val="2"/>
        <scheme val="minor"/>
      </rPr>
      <t xml:space="preserve">16s Gold Willow to Silver Wave w/ Red Strobe/Blue/Gold  lace/White lace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Cake3.</t>
    </r>
    <r>
      <rPr>
        <sz val="11"/>
        <color theme="1"/>
        <rFont val="Calibri"/>
        <family val="2"/>
        <scheme val="minor"/>
      </rPr>
      <t xml:space="preserve"> 36s Red Howling Tail to ed Lace/Salute </t>
    </r>
    <r>
      <rPr>
        <b/>
        <sz val="11"/>
        <color theme="1"/>
        <rFont val="Calibri"/>
        <family val="2"/>
        <scheme val="minor"/>
      </rPr>
      <t xml:space="preserve">                                Cake 4.</t>
    </r>
    <r>
      <rPr>
        <sz val="11"/>
        <color theme="1"/>
        <rFont val="Calibri"/>
        <family val="2"/>
        <scheme val="minor"/>
      </rPr>
      <t xml:space="preserve"> 36s Silver Howling Tail to Brocade Crown w/Blue and Green Strobe; Silver Howling Yail To Salute.</t>
    </r>
  </si>
  <si>
    <t>PCA121</t>
  </si>
  <si>
    <r>
      <t>Cake 1.</t>
    </r>
    <r>
      <rPr>
        <sz val="11"/>
        <color theme="1"/>
        <rFont val="Calibri"/>
        <family val="2"/>
        <scheme val="minor"/>
      </rPr>
      <t xml:space="preserve"> 49s Straight Brpcade Crown w/Blue Mine to Brocade Crown and Blue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Cake 2. </t>
    </r>
    <r>
      <rPr>
        <sz val="11"/>
        <color theme="1"/>
        <rFont val="Calibri"/>
        <family val="2"/>
        <scheme val="minor"/>
      </rPr>
      <t xml:space="preserve"> 81s Ti-Gold Willow to Blue and Color and Color Falling Leaves Alternate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Cake </t>
    </r>
    <r>
      <rPr>
        <sz val="11"/>
        <color theme="1"/>
        <rFont val="Calibri"/>
        <family val="2"/>
        <scheme val="minor"/>
      </rPr>
      <t xml:space="preserve">3. 49s Straight Blue Tail to Nishiki and Red/Blue                 </t>
    </r>
    <r>
      <rPr>
        <b/>
        <sz val="11"/>
        <color theme="1"/>
        <rFont val="Calibri"/>
        <family val="2"/>
        <scheme val="minor"/>
      </rPr>
      <t>Case 4</t>
    </r>
    <r>
      <rPr>
        <sz val="11"/>
        <color theme="1"/>
        <rFont val="Calibri"/>
        <family val="2"/>
        <scheme val="minor"/>
      </rPr>
      <t xml:space="preserve">.  81s Brocade Crown Tail to Brocade to Brocade Crown and Red Blue </t>
    </r>
  </si>
  <si>
    <t>PCA122</t>
  </si>
  <si>
    <t>25/20</t>
  </si>
  <si>
    <r>
      <t xml:space="preserve">Cake 1. </t>
    </r>
    <r>
      <rPr>
        <sz val="11"/>
        <color theme="1"/>
        <rFont val="Calibri"/>
        <family val="2"/>
        <scheme val="minor"/>
      </rPr>
      <t xml:space="preserve">49s Straight Blue Moving Star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Cake 2.</t>
    </r>
    <r>
      <rPr>
        <sz val="11"/>
        <color theme="1"/>
        <rFont val="Calibri"/>
        <family val="2"/>
        <scheme val="minor"/>
      </rPr>
      <t xml:space="preserve"> 49s Straight Brocade Crown w/Blue Mine to Brocade Crown and Blue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Cake 3.</t>
    </r>
    <r>
      <rPr>
        <sz val="11"/>
        <color theme="1"/>
        <rFont val="Calibri"/>
        <family val="2"/>
        <scheme val="minor"/>
      </rPr>
      <t xml:space="preserve"> 49s Straight Red Moving Star                                                    </t>
    </r>
    <r>
      <rPr>
        <b/>
        <sz val="11"/>
        <color theme="1"/>
        <rFont val="Calibri"/>
        <family val="2"/>
        <scheme val="minor"/>
      </rPr>
      <t>Cake 4.</t>
    </r>
    <r>
      <rPr>
        <sz val="11"/>
        <color theme="1"/>
        <rFont val="Calibri"/>
        <family val="2"/>
        <scheme val="minor"/>
      </rPr>
      <t xml:space="preserve"> 49s Straight Brocade Crown w/Blue Mine to Brocade Crown and Blue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Cake 5.</t>
    </r>
    <r>
      <rPr>
        <sz val="11"/>
        <color theme="1"/>
        <rFont val="Calibri"/>
        <family val="2"/>
        <scheme val="minor"/>
      </rPr>
      <t xml:space="preserve"> 49s Straight Blue Tail to Nishiki and Red/Blue                 </t>
    </r>
    <r>
      <rPr>
        <b/>
        <sz val="11"/>
        <color theme="1"/>
        <rFont val="Calibri"/>
        <family val="2"/>
        <scheme val="minor"/>
      </rPr>
      <t>Cake 6</t>
    </r>
    <r>
      <rPr>
        <sz val="11"/>
        <color theme="1"/>
        <rFont val="Calibri"/>
        <family val="2"/>
        <scheme val="minor"/>
      </rPr>
      <t xml:space="preserve">. 49s White Strobe Comet to Red/Blue Crossette              </t>
    </r>
    <r>
      <rPr>
        <b/>
        <sz val="11"/>
        <color theme="1"/>
        <rFont val="Calibri"/>
        <family val="2"/>
        <scheme val="minor"/>
      </rPr>
      <t>Cake 7.</t>
    </r>
    <r>
      <rPr>
        <sz val="11"/>
        <color theme="1"/>
        <rFont val="Calibri"/>
        <family val="2"/>
        <scheme val="minor"/>
      </rPr>
      <t xml:space="preserve"> 49s Straight Blue Tail to Nishiki and Red/Blue</t>
    </r>
  </si>
  <si>
    <t>PCA123</t>
  </si>
  <si>
    <r>
      <t xml:space="preserve">Cake1. </t>
    </r>
    <r>
      <rPr>
        <sz val="11"/>
        <color theme="1"/>
        <rFont val="Calibri"/>
        <family val="2"/>
        <scheme val="minor"/>
      </rPr>
      <t xml:space="preserve">49s Brocade Crown Tail to Golden Pine and Red Moving Fireflies/Green Moving Fireflies/Blue Moving Fireflies              </t>
    </r>
    <r>
      <rPr>
        <b/>
        <sz val="11"/>
        <color theme="1"/>
        <rFont val="Calibri"/>
        <family val="2"/>
        <scheme val="minor"/>
      </rPr>
      <t>Cake 2.</t>
    </r>
    <r>
      <rPr>
        <sz val="11"/>
        <color theme="1"/>
        <rFont val="Calibri"/>
        <family val="2"/>
        <scheme val="minor"/>
      </rPr>
      <t xml:space="preserve"> 49s Red/Green/Moving Fireflies/Blue Moving Fireworks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Cake3</t>
    </r>
    <r>
      <rPr>
        <sz val="11"/>
        <color theme="1"/>
        <rFont val="Calibri"/>
        <family val="2"/>
        <scheme val="minor"/>
      </rPr>
      <t xml:space="preserve">. 48s S Shape Glow Grass Glittering Tail to Glow Grass Glittering and Red/Green/Blue                                                              </t>
    </r>
    <r>
      <rPr>
        <b/>
        <sz val="11"/>
        <color theme="1"/>
        <rFont val="Calibri"/>
        <family val="2"/>
        <scheme val="minor"/>
      </rPr>
      <t>Cake 4</t>
    </r>
    <r>
      <rPr>
        <sz val="11"/>
        <color theme="1"/>
        <rFont val="Calibri"/>
        <family val="2"/>
        <scheme val="minor"/>
      </rPr>
      <t>. 49s Brocade Crown Mine to Brocade Crown</t>
    </r>
  </si>
  <si>
    <t>PCA125</t>
  </si>
  <si>
    <t>36s Straight Whistling</t>
  </si>
  <si>
    <t>36s Straight Red Whistling To Thunder w/Red Lace</t>
  </si>
  <si>
    <t>PSC167</t>
  </si>
  <si>
    <t>Slice Cake</t>
  </si>
  <si>
    <t xml:space="preserve"> 9s Gold Willow to Red Lace w/Red Tails</t>
  </si>
  <si>
    <t>PSC168</t>
  </si>
  <si>
    <t>9s Gold Scatering with Gold Crackle w/Gold Tails</t>
  </si>
  <si>
    <t>PSC169</t>
  </si>
  <si>
    <t xml:space="preserve"> 9s Metepr Shower</t>
  </si>
  <si>
    <t>PSC120</t>
  </si>
  <si>
    <t>Triple Time Rain</t>
  </si>
  <si>
    <t xml:space="preserve"> 66s Mixed Effects; Red Wave with Wave with White Strobe; Siver Wave w/Red Strobe/Red/Sky blue/w/White Strobe/Blue w/Red white strobes, white Strobe willow w/RGBY, Red Strobe Willow w/RGBY</t>
  </si>
  <si>
    <r>
      <t>On Hand</t>
    </r>
    <r>
      <rPr>
        <sz val="10"/>
        <color rgb="FFFF0000"/>
        <rFont val="Calibri"/>
        <family val="2"/>
        <scheme val="minor"/>
      </rPr>
      <t xml:space="preserve"> On Order </t>
    </r>
    <r>
      <rPr>
        <sz val="10"/>
        <rFont val="Calibri"/>
        <family val="2"/>
        <scheme val="minor"/>
      </rPr>
      <t>Cases</t>
    </r>
  </si>
  <si>
    <t>225s Salute</t>
  </si>
  <si>
    <t>225s  Time Rain</t>
  </si>
  <si>
    <t>225s Gold Strobe Willow</t>
  </si>
  <si>
    <t>66s Mixed Effect</t>
  </si>
  <si>
    <t>CAKES</t>
  </si>
  <si>
    <t>COMPOUND CAKES</t>
  </si>
  <si>
    <t>NEW EFFECTS CAKES</t>
  </si>
  <si>
    <t>225 CAKES</t>
  </si>
  <si>
    <t>SLICES</t>
  </si>
  <si>
    <t>1.4g Articles Pyrotechnic  (Pro Series)</t>
  </si>
  <si>
    <t>ROMAN CANDLES</t>
  </si>
  <si>
    <t>FOUNTAINS</t>
  </si>
  <si>
    <t>PARACHUTES</t>
  </si>
  <si>
    <t>ROCKETS</t>
  </si>
  <si>
    <t>200 GRAM CAKES</t>
  </si>
  <si>
    <t>Ghost Rings 9s</t>
  </si>
  <si>
    <t>Trinity 9s</t>
  </si>
  <si>
    <t>Profesional Racks</t>
  </si>
  <si>
    <t>500 Gram Cakes</t>
  </si>
  <si>
    <t>Firecrackers</t>
  </si>
  <si>
    <t>Large Finalies</t>
  </si>
  <si>
    <t>Mother Of All Bombs 9s</t>
  </si>
  <si>
    <t>Disco Ball 9s</t>
  </si>
  <si>
    <t>Jelly Fish 9s</t>
  </si>
  <si>
    <t>Road to America</t>
  </si>
  <si>
    <t xml:space="preserve">Fancy Freedom </t>
  </si>
  <si>
    <t xml:space="preserve"> VIP 180s</t>
  </si>
  <si>
    <t>Bubble Gatling 592s</t>
  </si>
  <si>
    <t>Red White &amp; Brew 84s</t>
  </si>
  <si>
    <t>Reloadables</t>
  </si>
  <si>
    <t>4th July Sky Dive 12's</t>
  </si>
  <si>
    <t xml:space="preserve">Snow Cone </t>
  </si>
  <si>
    <t>Light House</t>
  </si>
  <si>
    <t xml:space="preserve">Liberty Fountain </t>
  </si>
  <si>
    <t>Heavy Splash 24/6</t>
  </si>
  <si>
    <t>Thunder Blitz 100s</t>
  </si>
  <si>
    <t>Trooper Turret 240s</t>
  </si>
  <si>
    <t xml:space="preserve"> Fun Fuel 50s</t>
  </si>
  <si>
    <t>Pulse Pounder 50s</t>
  </si>
  <si>
    <t xml:space="preserve"> Game Night</t>
  </si>
  <si>
    <t>Dragon Duel 16s</t>
  </si>
  <si>
    <t>Pillow Fight 15s</t>
  </si>
  <si>
    <t>Great Magician 15s</t>
  </si>
  <si>
    <t>Concert Lights 17s</t>
  </si>
  <si>
    <t xml:space="preserve"> Sweet Land Liberty 25s</t>
  </si>
  <si>
    <t>Lucky Streak 66s</t>
  </si>
  <si>
    <t>Angry Pandas 14s</t>
  </si>
  <si>
    <t>Notorious 33s</t>
  </si>
  <si>
    <t xml:space="preserve">Rainbow </t>
  </si>
  <si>
    <t xml:space="preserve"> Wolf Warrior 8s</t>
  </si>
  <si>
    <t>Ta-Dahi 36s</t>
  </si>
  <si>
    <t>Make America Great Again</t>
  </si>
  <si>
    <t xml:space="preserve"> Colonel Popper 31s</t>
  </si>
  <si>
    <t>Mafia Boss 44s</t>
  </si>
  <si>
    <t>Pyro Tsunami</t>
  </si>
  <si>
    <t>Party Buss 42s</t>
  </si>
  <si>
    <t xml:space="preserve"> Color Master 28s</t>
  </si>
  <si>
    <t xml:space="preserve"> US 66 66s</t>
  </si>
  <si>
    <t>Rush Hour 100</t>
  </si>
  <si>
    <t>Ticket to ride 40s</t>
  </si>
  <si>
    <t xml:space="preserve">Solar Blast </t>
  </si>
  <si>
    <t xml:space="preserve">Double Dragon </t>
  </si>
  <si>
    <t>Joint Task Force</t>
  </si>
  <si>
    <t>Neon Beef</t>
  </si>
  <si>
    <t>Tank Busters</t>
  </si>
  <si>
    <t xml:space="preserve">Shooting Galery   </t>
  </si>
  <si>
    <t>Crackling Artillery W518A</t>
  </si>
  <si>
    <t>Whistling Buster W520</t>
  </si>
  <si>
    <t>NEW</t>
  </si>
  <si>
    <t>Hammer Down</t>
  </si>
  <si>
    <t>Change</t>
  </si>
  <si>
    <t xml:space="preserve">Add 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</si>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</sst>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0" borderId="1" xfId="0" applyBorder="1"/>
    <xf numFmtId="44" fontId="0" fillId="2" borderId="1" xfId="1" applyFont="1" applyFill="1" applyBorder="1"/>
    <xf numFmtId="2" fontId="0" fillId="0" borderId="1" xfId="0" applyNumberFormat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right"/>
    </xf>
    <xf numFmtId="2" fontId="0" fillId="2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/>
    </xf>
    <xf numFmtId="1" fontId="7" fillId="2" borderId="1" xfId="0" applyNumberFormat="1" applyFont="1" applyFill="1" applyBorder="1"/>
    <xf numFmtId="1" fontId="0" fillId="2" borderId="1" xfId="0" applyNumberFormat="1" applyFill="1" applyBorder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" fontId="0" fillId="2" borderId="1" xfId="0" applyNumberFormat="1" applyFill="1" applyBorder="1" applyAlignment="1">
      <alignment vertical="top"/>
    </xf>
    <xf numFmtId="2" fontId="0" fillId="2" borderId="1" xfId="0" applyNumberFormat="1" applyFill="1" applyBorder="1" applyAlignment="1">
      <alignment vertical="top"/>
    </xf>
    <xf numFmtId="44" fontId="0" fillId="2" borderId="1" xfId="1" applyFont="1" applyFill="1" applyBorder="1" applyAlignment="1">
      <alignment vertical="top"/>
    </xf>
    <xf numFmtId="12" fontId="0" fillId="2" borderId="1" xfId="0" applyNumberFormat="1" applyFill="1" applyBorder="1" applyAlignment="1">
      <alignment vertical="top"/>
    </xf>
    <xf numFmtId="16" fontId="0" fillId="2" borderId="1" xfId="0" applyNumberForma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0" fillId="2" borderId="3" xfId="0" applyFill="1" applyBorder="1"/>
    <xf numFmtId="1" fontId="0" fillId="2" borderId="3" xfId="0" applyNumberFormat="1" applyFill="1" applyBorder="1"/>
    <xf numFmtId="2" fontId="0" fillId="2" borderId="3" xfId="0" applyNumberFormat="1" applyFill="1" applyBorder="1"/>
    <xf numFmtId="0" fontId="0" fillId="2" borderId="1" xfId="0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0" fontId="9" fillId="2" borderId="1" xfId="0" applyFont="1" applyFill="1" applyBorder="1"/>
    <xf numFmtId="0" fontId="9" fillId="0" borderId="0" xfId="0" applyFont="1"/>
    <xf numFmtId="0" fontId="10" fillId="0" borderId="0" xfId="0" applyFont="1"/>
    <xf numFmtId="2" fontId="0" fillId="2" borderId="4" xfId="0" applyNumberFormat="1" applyFill="1" applyBorder="1"/>
    <xf numFmtId="44" fontId="0" fillId="2" borderId="3" xfId="1" applyFont="1" applyFill="1" applyBorder="1"/>
    <xf numFmtId="1" fontId="0" fillId="2" borderId="0" xfId="0" applyNumberFormat="1" applyFill="1"/>
    <xf numFmtId="1" fontId="7" fillId="2" borderId="1" xfId="0" applyNumberFormat="1" applyFont="1" applyFill="1" applyBorder="1" applyAlignment="1">
      <alignment vertical="top"/>
    </xf>
    <xf numFmtId="0" fontId="7" fillId="2" borderId="1" xfId="0" applyFont="1" applyFill="1" applyBorder="1"/>
    <xf numFmtId="1" fontId="7" fillId="2" borderId="3" xfId="0" applyNumberFormat="1" applyFont="1" applyFill="1" applyBorder="1"/>
    <xf numFmtId="0" fontId="11" fillId="2" borderId="1" xfId="0" applyFont="1" applyFill="1" applyBorder="1"/>
    <xf numFmtId="0" fontId="11" fillId="2" borderId="2" xfId="0" applyFont="1" applyFill="1" applyBorder="1"/>
    <xf numFmtId="0" fontId="11" fillId="2" borderId="1" xfId="0" applyFont="1" applyFill="1" applyBorder="1" applyAlignment="1">
      <alignment horizontal="right"/>
    </xf>
    <xf numFmtId="0" fontId="11" fillId="2" borderId="0" xfId="0" applyFont="1" applyFill="1"/>
    <xf numFmtId="44" fontId="0" fillId="0" borderId="0" xfId="1" applyFont="1"/>
    <xf numFmtId="44" fontId="0" fillId="2" borderId="2" xfId="1" applyFont="1" applyFill="1" applyBorder="1"/>
    <xf numFmtId="44" fontId="0" fillId="2" borderId="5" xfId="1" applyFont="1" applyFill="1" applyBorder="1"/>
    <xf numFmtId="44" fontId="4" fillId="2" borderId="1" xfId="1" applyFont="1" applyFill="1" applyBorder="1"/>
    <xf numFmtId="44" fontId="3" fillId="2" borderId="1" xfId="1" applyFont="1" applyFill="1" applyBorder="1"/>
    <xf numFmtId="44" fontId="0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751C-4C72-468A-94F2-BDEAE6CD261D}">
  <dimension ref="A1:G170"/>
  <sheetViews>
    <sheetView tabSelected="1" zoomScaleNormal="100" workbookViewId="0">
      <selection activeCell="F1" sqref="F1:F1048576"/>
    </sheetView>
  </sheetViews>
  <sheetFormatPr defaultRowHeight="15" x14ac:dyDescent="0.25"/>
  <cols>
    <col min="2" max="2" width="35.7109375" customWidth="1"/>
    <col min="4" max="4" width="9.140625" hidden="1" customWidth="1"/>
    <col min="6" max="6" width="0" hidden="1" customWidth="1"/>
  </cols>
  <sheetData>
    <row r="1" spans="1:7" x14ac:dyDescent="0.25">
      <c r="A1">
        <v>2026</v>
      </c>
      <c r="B1" s="1"/>
    </row>
    <row r="2" spans="1:7" x14ac:dyDescent="0.25">
      <c r="A2" t="s">
        <v>0</v>
      </c>
      <c r="B2" s="1" t="s">
        <v>1</v>
      </c>
      <c r="C2" s="2" t="s">
        <v>2</v>
      </c>
      <c r="D2" s="2" t="s">
        <v>4</v>
      </c>
      <c r="E2" s="2" t="s">
        <v>11</v>
      </c>
      <c r="G2" s="2" t="s">
        <v>334</v>
      </c>
    </row>
    <row r="3" spans="1:7" x14ac:dyDescent="0.25">
      <c r="A3" t="s">
        <v>0</v>
      </c>
      <c r="B3" s="1" t="s">
        <v>1</v>
      </c>
      <c r="C3" s="2" t="s">
        <v>12</v>
      </c>
      <c r="D3" s="2" t="s">
        <v>13</v>
      </c>
      <c r="E3" s="2" t="s">
        <v>14</v>
      </c>
      <c r="G3" s="2" t="s">
        <v>131</v>
      </c>
    </row>
    <row r="4" spans="1:7" x14ac:dyDescent="0.25">
      <c r="B4" s="1"/>
      <c r="C4" s="2"/>
      <c r="D4" s="2" t="s">
        <v>15</v>
      </c>
      <c r="E4" s="2">
        <v>2026</v>
      </c>
      <c r="G4">
        <v>2026</v>
      </c>
    </row>
    <row r="5" spans="1:7" x14ac:dyDescent="0.25">
      <c r="B5" s="1"/>
      <c r="C5" s="2"/>
      <c r="D5" s="2"/>
      <c r="E5" s="3"/>
    </row>
    <row r="6" spans="1:7" x14ac:dyDescent="0.25">
      <c r="A6" s="4"/>
      <c r="B6" s="4"/>
      <c r="C6" s="5"/>
      <c r="D6" s="7"/>
      <c r="E6" s="8"/>
    </row>
    <row r="7" spans="1:7" ht="18.75" x14ac:dyDescent="0.3">
      <c r="A7" s="44" t="s">
        <v>275</v>
      </c>
      <c r="B7" s="4"/>
      <c r="C7" s="5"/>
      <c r="D7" s="7"/>
      <c r="E7" s="8"/>
    </row>
    <row r="8" spans="1:7" x14ac:dyDescent="0.25">
      <c r="A8" s="4">
        <v>2025</v>
      </c>
      <c r="B8" s="4" t="s">
        <v>16</v>
      </c>
      <c r="C8" s="5">
        <v>18</v>
      </c>
      <c r="D8" s="7">
        <v>1</v>
      </c>
      <c r="E8" s="6">
        <v>14.99</v>
      </c>
      <c r="G8" s="48">
        <f>SUM(C8*E8*0.8)</f>
        <v>215.85599999999999</v>
      </c>
    </row>
    <row r="9" spans="1:7" x14ac:dyDescent="0.25">
      <c r="A9" s="9">
        <v>2026</v>
      </c>
      <c r="B9" s="4" t="s">
        <v>17</v>
      </c>
      <c r="C9" s="5">
        <v>12</v>
      </c>
      <c r="D9" s="7">
        <v>13</v>
      </c>
      <c r="E9" s="6">
        <v>19.989999999999998</v>
      </c>
      <c r="G9" s="48">
        <f t="shared" ref="G9:G72" si="0">SUM(C9*E9*0.8)</f>
        <v>191.904</v>
      </c>
    </row>
    <row r="10" spans="1:7" x14ac:dyDescent="0.25">
      <c r="A10" s="9">
        <v>2027</v>
      </c>
      <c r="B10" s="4" t="s">
        <v>18</v>
      </c>
      <c r="C10" s="5">
        <v>16</v>
      </c>
      <c r="D10" s="7">
        <v>18</v>
      </c>
      <c r="E10" s="6">
        <v>14.99</v>
      </c>
      <c r="G10" s="48">
        <f t="shared" si="0"/>
        <v>191.87200000000001</v>
      </c>
    </row>
    <row r="11" spans="1:7" x14ac:dyDescent="0.25">
      <c r="A11" s="9">
        <v>2028</v>
      </c>
      <c r="B11" s="4" t="s">
        <v>19</v>
      </c>
      <c r="C11" s="5">
        <v>18</v>
      </c>
      <c r="D11" s="7">
        <v>22</v>
      </c>
      <c r="E11" s="6">
        <v>14.99</v>
      </c>
      <c r="G11" s="48">
        <f t="shared" si="0"/>
        <v>215.85599999999999</v>
      </c>
    </row>
    <row r="12" spans="1:7" x14ac:dyDescent="0.25">
      <c r="A12" s="9">
        <v>2031</v>
      </c>
      <c r="B12" s="4" t="s">
        <v>20</v>
      </c>
      <c r="C12" s="5">
        <v>12</v>
      </c>
      <c r="D12" s="7">
        <v>25</v>
      </c>
      <c r="E12" s="6">
        <v>14.99</v>
      </c>
      <c r="G12" s="48">
        <f t="shared" si="0"/>
        <v>143.904</v>
      </c>
    </row>
    <row r="13" spans="1:7" x14ac:dyDescent="0.25">
      <c r="A13" s="4"/>
      <c r="B13" s="4"/>
      <c r="C13" s="5"/>
      <c r="D13" s="7"/>
      <c r="E13" s="6"/>
      <c r="G13" s="48"/>
    </row>
    <row r="14" spans="1:7" ht="18.75" x14ac:dyDescent="0.3">
      <c r="A14" s="44" t="s">
        <v>274</v>
      </c>
      <c r="B14" s="4"/>
      <c r="C14" s="5"/>
      <c r="D14" s="7"/>
      <c r="E14" s="6"/>
      <c r="G14" s="48"/>
    </row>
    <row r="15" spans="1:7" x14ac:dyDescent="0.25">
      <c r="A15" s="4">
        <v>2701</v>
      </c>
      <c r="B15" s="4" t="s">
        <v>21</v>
      </c>
      <c r="C15" s="5">
        <v>18</v>
      </c>
      <c r="D15" s="7">
        <v>4</v>
      </c>
      <c r="E15" s="6">
        <v>9.99</v>
      </c>
      <c r="G15" s="48">
        <f t="shared" si="0"/>
        <v>143.85599999999999</v>
      </c>
    </row>
    <row r="16" spans="1:7" x14ac:dyDescent="0.25">
      <c r="A16" s="4">
        <v>2702</v>
      </c>
      <c r="B16" s="4" t="s">
        <v>22</v>
      </c>
      <c r="C16" s="5">
        <v>18</v>
      </c>
      <c r="D16" s="7">
        <v>7</v>
      </c>
      <c r="E16" s="6">
        <v>9.99</v>
      </c>
      <c r="G16" s="48">
        <f t="shared" si="0"/>
        <v>143.85599999999999</v>
      </c>
    </row>
    <row r="17" spans="1:7" x14ac:dyDescent="0.25">
      <c r="A17" s="4">
        <v>2703</v>
      </c>
      <c r="B17" s="4" t="s">
        <v>292</v>
      </c>
      <c r="C17" s="5">
        <v>8</v>
      </c>
      <c r="D17" s="7">
        <v>1</v>
      </c>
      <c r="E17" s="6">
        <v>24.99</v>
      </c>
      <c r="G17" s="48">
        <f t="shared" si="0"/>
        <v>159.93600000000001</v>
      </c>
    </row>
    <row r="18" spans="1:7" x14ac:dyDescent="0.25">
      <c r="A18" s="4">
        <v>5083</v>
      </c>
      <c r="B18" s="4" t="s">
        <v>29</v>
      </c>
      <c r="C18" s="5">
        <v>24</v>
      </c>
      <c r="D18" s="7">
        <v>23</v>
      </c>
      <c r="E18" s="6">
        <v>12.99</v>
      </c>
      <c r="G18" s="48">
        <f t="shared" si="0"/>
        <v>249.40800000000002</v>
      </c>
    </row>
    <row r="19" spans="1:7" x14ac:dyDescent="0.25">
      <c r="A19" s="4">
        <v>5089</v>
      </c>
      <c r="B19" s="4" t="s">
        <v>30</v>
      </c>
      <c r="C19" s="5">
        <v>24</v>
      </c>
      <c r="D19" s="7"/>
      <c r="E19" s="6">
        <v>12.99</v>
      </c>
      <c r="G19" s="48">
        <f t="shared" si="0"/>
        <v>249.40800000000002</v>
      </c>
    </row>
    <row r="20" spans="1:7" x14ac:dyDescent="0.25">
      <c r="A20" s="4">
        <v>5092</v>
      </c>
      <c r="B20" s="4" t="s">
        <v>32</v>
      </c>
      <c r="C20" s="5">
        <v>24</v>
      </c>
      <c r="D20" s="7">
        <v>10</v>
      </c>
      <c r="E20" s="6">
        <v>14.99</v>
      </c>
      <c r="G20" s="48">
        <f t="shared" si="0"/>
        <v>287.80799999999999</v>
      </c>
    </row>
    <row r="21" spans="1:7" x14ac:dyDescent="0.25">
      <c r="A21" s="4">
        <v>5614</v>
      </c>
      <c r="B21" s="4" t="s">
        <v>86</v>
      </c>
      <c r="C21" s="5">
        <v>2</v>
      </c>
      <c r="D21" s="7">
        <v>10</v>
      </c>
      <c r="E21" s="6">
        <v>79.989999999999995</v>
      </c>
      <c r="G21" s="48">
        <f t="shared" si="0"/>
        <v>127.98399999999999</v>
      </c>
    </row>
    <row r="22" spans="1:7" x14ac:dyDescent="0.25">
      <c r="A22" s="4"/>
      <c r="B22" s="4"/>
      <c r="C22" s="5"/>
      <c r="D22" s="7"/>
      <c r="E22" s="6"/>
      <c r="G22" s="48"/>
    </row>
    <row r="23" spans="1:7" ht="18.75" x14ac:dyDescent="0.3">
      <c r="A23" s="44" t="s">
        <v>273</v>
      </c>
      <c r="B23" s="4"/>
      <c r="C23" s="5"/>
      <c r="D23" s="7"/>
      <c r="E23" s="6"/>
      <c r="G23" s="48"/>
    </row>
    <row r="24" spans="1:7" x14ac:dyDescent="0.25">
      <c r="A24" s="4">
        <v>3088</v>
      </c>
      <c r="B24" s="4" t="s">
        <v>293</v>
      </c>
      <c r="C24" s="5">
        <v>8</v>
      </c>
      <c r="D24" s="7">
        <v>6</v>
      </c>
      <c r="E24" s="6">
        <v>21.99</v>
      </c>
      <c r="G24" s="48">
        <f t="shared" si="0"/>
        <v>140.73599999999999</v>
      </c>
    </row>
    <row r="25" spans="1:7" x14ac:dyDescent="0.25">
      <c r="A25" s="4">
        <v>3093</v>
      </c>
      <c r="B25" s="4" t="s">
        <v>294</v>
      </c>
      <c r="C25" s="5">
        <v>12</v>
      </c>
      <c r="D25" s="7">
        <v>5</v>
      </c>
      <c r="E25" s="6">
        <v>21.99</v>
      </c>
      <c r="G25" s="48">
        <f t="shared" si="0"/>
        <v>211.10400000000001</v>
      </c>
    </row>
    <row r="26" spans="1:7" x14ac:dyDescent="0.25">
      <c r="A26" s="4">
        <v>3112</v>
      </c>
      <c r="B26" s="10">
        <v>180</v>
      </c>
      <c r="C26" s="5">
        <v>8</v>
      </c>
      <c r="D26" s="7">
        <v>1</v>
      </c>
      <c r="E26" s="6">
        <v>19.989999999999998</v>
      </c>
      <c r="G26" s="48">
        <f t="shared" si="0"/>
        <v>127.93599999999999</v>
      </c>
    </row>
    <row r="27" spans="1:7" x14ac:dyDescent="0.25">
      <c r="A27" s="4">
        <v>3203</v>
      </c>
      <c r="B27" s="4" t="s">
        <v>295</v>
      </c>
      <c r="C27" s="5">
        <v>16</v>
      </c>
      <c r="D27" s="7">
        <v>5</v>
      </c>
      <c r="E27" s="6">
        <v>16.989999999999998</v>
      </c>
      <c r="G27" s="48">
        <f t="shared" si="0"/>
        <v>217.47199999999998</v>
      </c>
    </row>
    <row r="28" spans="1:7" x14ac:dyDescent="0.25">
      <c r="A28" s="4"/>
      <c r="B28" s="4"/>
      <c r="C28" s="5"/>
      <c r="D28" s="7"/>
      <c r="E28" s="6"/>
      <c r="G28" s="48"/>
    </row>
    <row r="29" spans="1:7" ht="18.75" x14ac:dyDescent="0.3">
      <c r="A29" s="44" t="s">
        <v>272</v>
      </c>
      <c r="B29" s="4"/>
      <c r="C29" s="5"/>
      <c r="D29" s="7"/>
      <c r="E29" s="6"/>
      <c r="G29" s="48"/>
    </row>
    <row r="30" spans="1:7" x14ac:dyDescent="0.25">
      <c r="A30" s="4">
        <v>4014</v>
      </c>
      <c r="B30" s="4" t="s">
        <v>296</v>
      </c>
      <c r="C30" s="5">
        <v>24</v>
      </c>
      <c r="D30" s="7">
        <v>13</v>
      </c>
      <c r="E30" s="6">
        <v>6.99</v>
      </c>
      <c r="G30" s="48">
        <f t="shared" si="0"/>
        <v>134.208</v>
      </c>
    </row>
    <row r="31" spans="1:7" x14ac:dyDescent="0.25">
      <c r="A31" s="4">
        <v>4015</v>
      </c>
      <c r="B31" s="4" t="s">
        <v>23</v>
      </c>
      <c r="C31" s="5">
        <v>24</v>
      </c>
      <c r="D31" s="7">
        <v>10</v>
      </c>
      <c r="E31" s="6">
        <v>8.99</v>
      </c>
      <c r="G31" s="48">
        <f t="shared" si="0"/>
        <v>172.608</v>
      </c>
    </row>
    <row r="32" spans="1:7" x14ac:dyDescent="0.25">
      <c r="A32" s="4">
        <v>4017</v>
      </c>
      <c r="B32" s="4" t="s">
        <v>24</v>
      </c>
      <c r="C32" s="5">
        <v>24</v>
      </c>
      <c r="D32" s="7">
        <v>9</v>
      </c>
      <c r="E32" s="6">
        <v>7.99</v>
      </c>
      <c r="G32" s="48">
        <f t="shared" si="0"/>
        <v>153.40799999999999</v>
      </c>
    </row>
    <row r="33" spans="1:7" x14ac:dyDescent="0.25">
      <c r="A33" s="4">
        <v>4018</v>
      </c>
      <c r="B33" s="4" t="s">
        <v>25</v>
      </c>
      <c r="C33" s="5">
        <v>15</v>
      </c>
      <c r="D33" s="7"/>
      <c r="E33" s="6">
        <v>14.99</v>
      </c>
      <c r="G33" s="48">
        <f t="shared" si="0"/>
        <v>179.88</v>
      </c>
    </row>
    <row r="34" spans="1:7" x14ac:dyDescent="0.25">
      <c r="A34" s="4">
        <v>4023</v>
      </c>
      <c r="B34" s="4" t="s">
        <v>26</v>
      </c>
      <c r="C34" s="5">
        <v>36</v>
      </c>
      <c r="D34" s="7">
        <v>18</v>
      </c>
      <c r="E34" s="6">
        <v>3.99</v>
      </c>
      <c r="G34" s="48">
        <f t="shared" si="0"/>
        <v>114.91200000000002</v>
      </c>
    </row>
    <row r="35" spans="1:7" x14ac:dyDescent="0.25">
      <c r="A35" s="4">
        <v>4024</v>
      </c>
      <c r="B35" s="4" t="s">
        <v>27</v>
      </c>
      <c r="C35" s="5">
        <v>24</v>
      </c>
      <c r="D35" s="7">
        <v>20</v>
      </c>
      <c r="E35" s="6">
        <v>3.99</v>
      </c>
      <c r="G35" s="48">
        <f t="shared" si="0"/>
        <v>76.608000000000004</v>
      </c>
    </row>
    <row r="36" spans="1:7" x14ac:dyDescent="0.25">
      <c r="A36" s="4">
        <v>4028</v>
      </c>
      <c r="B36" s="4" t="s">
        <v>297</v>
      </c>
      <c r="C36" s="5">
        <v>12</v>
      </c>
      <c r="D36" s="7">
        <v>16</v>
      </c>
      <c r="E36" s="6">
        <v>29.99</v>
      </c>
      <c r="G36" s="48">
        <f t="shared" si="0"/>
        <v>287.904</v>
      </c>
    </row>
    <row r="37" spans="1:7" x14ac:dyDescent="0.25">
      <c r="A37" s="4">
        <v>4031</v>
      </c>
      <c r="B37" s="4" t="s">
        <v>298</v>
      </c>
      <c r="C37" s="5">
        <v>8</v>
      </c>
      <c r="D37" s="7">
        <v>32</v>
      </c>
      <c r="E37" s="6">
        <v>29.99</v>
      </c>
      <c r="G37" s="48">
        <f t="shared" si="0"/>
        <v>191.93600000000001</v>
      </c>
    </row>
    <row r="38" spans="1:7" x14ac:dyDescent="0.25">
      <c r="A38" s="4">
        <v>4032</v>
      </c>
      <c r="B38" s="4" t="s">
        <v>28</v>
      </c>
      <c r="C38" s="5">
        <v>8</v>
      </c>
      <c r="D38" s="7">
        <v>20</v>
      </c>
      <c r="E38" s="6">
        <v>29.99</v>
      </c>
      <c r="G38" s="48">
        <f t="shared" si="0"/>
        <v>191.93600000000001</v>
      </c>
    </row>
    <row r="39" spans="1:7" x14ac:dyDescent="0.25">
      <c r="A39" s="4"/>
      <c r="B39" s="4"/>
      <c r="C39" s="5"/>
      <c r="D39" s="7"/>
      <c r="E39" s="6"/>
      <c r="G39" s="48"/>
    </row>
    <row r="40" spans="1:7" ht="18.75" x14ac:dyDescent="0.3">
      <c r="A40" s="44" t="s">
        <v>276</v>
      </c>
      <c r="B40" s="45"/>
      <c r="C40" s="11"/>
      <c r="D40">
        <v>3</v>
      </c>
      <c r="E40" s="48"/>
      <c r="G40" s="48"/>
    </row>
    <row r="41" spans="1:7" x14ac:dyDescent="0.25">
      <c r="A41" s="1"/>
      <c r="B41" s="1"/>
      <c r="E41" s="48"/>
      <c r="G41" s="48"/>
    </row>
    <row r="42" spans="1:7" x14ac:dyDescent="0.25">
      <c r="A42" s="1"/>
      <c r="B42" s="1"/>
      <c r="E42" s="48"/>
      <c r="G42" s="48"/>
    </row>
    <row r="43" spans="1:7" x14ac:dyDescent="0.25">
      <c r="A43" s="4">
        <v>5108</v>
      </c>
      <c r="B43" s="4" t="s">
        <v>33</v>
      </c>
      <c r="C43" s="5">
        <v>24</v>
      </c>
      <c r="D43" s="7">
        <v>3</v>
      </c>
      <c r="E43" s="48">
        <v>12.99</v>
      </c>
      <c r="G43" s="48">
        <f t="shared" si="0"/>
        <v>249.40800000000002</v>
      </c>
    </row>
    <row r="44" spans="1:7" x14ac:dyDescent="0.25">
      <c r="A44" s="4">
        <v>5139</v>
      </c>
      <c r="B44" s="4" t="s">
        <v>34</v>
      </c>
      <c r="C44" s="5">
        <v>12</v>
      </c>
      <c r="D44" s="7">
        <v>4</v>
      </c>
      <c r="E44" s="48">
        <v>14.99</v>
      </c>
      <c r="G44" s="48">
        <f t="shared" si="0"/>
        <v>143.904</v>
      </c>
    </row>
    <row r="45" spans="1:7" x14ac:dyDescent="0.25">
      <c r="A45" s="4">
        <v>5143</v>
      </c>
      <c r="B45" s="4" t="s">
        <v>35</v>
      </c>
      <c r="C45" s="5">
        <v>12</v>
      </c>
      <c r="D45" s="7">
        <v>15</v>
      </c>
      <c r="E45" s="48">
        <v>14.99</v>
      </c>
      <c r="G45" s="48">
        <f t="shared" si="0"/>
        <v>143.904</v>
      </c>
    </row>
    <row r="46" spans="1:7" x14ac:dyDescent="0.25">
      <c r="A46" s="4">
        <v>5163</v>
      </c>
      <c r="B46" s="4" t="s">
        <v>36</v>
      </c>
      <c r="C46" s="5">
        <v>8</v>
      </c>
      <c r="D46" s="7">
        <v>10</v>
      </c>
      <c r="E46" s="48">
        <v>14.99</v>
      </c>
      <c r="G46" s="48">
        <f t="shared" si="0"/>
        <v>95.936000000000007</v>
      </c>
    </row>
    <row r="47" spans="1:7" x14ac:dyDescent="0.25">
      <c r="A47" s="4">
        <v>5172</v>
      </c>
      <c r="B47" s="4" t="s">
        <v>37</v>
      </c>
      <c r="C47" s="5">
        <v>12</v>
      </c>
      <c r="D47" s="7">
        <v>9</v>
      </c>
      <c r="E47" s="48">
        <v>14.99</v>
      </c>
      <c r="G47" s="48">
        <f t="shared" si="0"/>
        <v>143.904</v>
      </c>
    </row>
    <row r="48" spans="1:7" x14ac:dyDescent="0.25">
      <c r="A48" s="4">
        <v>5182</v>
      </c>
      <c r="B48" s="4" t="s">
        <v>38</v>
      </c>
      <c r="C48" s="5">
        <v>16</v>
      </c>
      <c r="D48" s="7"/>
      <c r="E48" s="48">
        <v>12.99</v>
      </c>
      <c r="G48" s="48">
        <f t="shared" si="0"/>
        <v>166.27200000000002</v>
      </c>
    </row>
    <row r="49" spans="1:7" x14ac:dyDescent="0.25">
      <c r="A49" s="4" t="s">
        <v>39</v>
      </c>
      <c r="B49" s="4" t="s">
        <v>40</v>
      </c>
      <c r="C49" s="5">
        <v>16</v>
      </c>
      <c r="D49" s="7">
        <v>10</v>
      </c>
      <c r="E49" s="48">
        <v>12.99</v>
      </c>
      <c r="G49" s="48">
        <f t="shared" si="0"/>
        <v>166.27200000000002</v>
      </c>
    </row>
    <row r="50" spans="1:7" x14ac:dyDescent="0.25">
      <c r="A50" s="4">
        <v>5183</v>
      </c>
      <c r="B50" s="4" t="s">
        <v>41</v>
      </c>
      <c r="C50" s="5">
        <v>16</v>
      </c>
      <c r="D50" s="7">
        <v>5</v>
      </c>
      <c r="E50" s="48">
        <v>12.99</v>
      </c>
      <c r="G50" s="48">
        <f t="shared" si="0"/>
        <v>166.27200000000002</v>
      </c>
    </row>
    <row r="51" spans="1:7" x14ac:dyDescent="0.25">
      <c r="A51" s="4">
        <v>5191</v>
      </c>
      <c r="B51" s="4" t="s">
        <v>299</v>
      </c>
      <c r="C51" s="5">
        <v>12</v>
      </c>
      <c r="D51" s="7">
        <v>2</v>
      </c>
      <c r="E51" s="48">
        <v>14.99</v>
      </c>
      <c r="G51" s="48">
        <f t="shared" si="0"/>
        <v>143.904</v>
      </c>
    </row>
    <row r="52" spans="1:7" x14ac:dyDescent="0.25">
      <c r="A52" s="4">
        <v>5192</v>
      </c>
      <c r="B52" s="4" t="s">
        <v>300</v>
      </c>
      <c r="C52" s="5">
        <v>12</v>
      </c>
      <c r="D52" s="7">
        <v>11</v>
      </c>
      <c r="E52" s="48">
        <v>14.99</v>
      </c>
      <c r="G52" s="48">
        <f t="shared" si="0"/>
        <v>143.904</v>
      </c>
    </row>
    <row r="53" spans="1:7" x14ac:dyDescent="0.25">
      <c r="A53" s="4">
        <v>5198</v>
      </c>
      <c r="B53" s="4" t="s">
        <v>301</v>
      </c>
      <c r="C53" s="5">
        <v>12</v>
      </c>
      <c r="D53" s="7"/>
      <c r="E53" s="48">
        <v>14.99</v>
      </c>
      <c r="G53" s="48">
        <f t="shared" si="0"/>
        <v>143.904</v>
      </c>
    </row>
    <row r="54" spans="1:7" x14ac:dyDescent="0.25">
      <c r="A54" s="4">
        <v>5200</v>
      </c>
      <c r="B54" s="4" t="s">
        <v>42</v>
      </c>
      <c r="C54" s="5">
        <v>12</v>
      </c>
      <c r="D54" s="7">
        <v>4</v>
      </c>
      <c r="E54" s="48">
        <v>14.99</v>
      </c>
      <c r="G54" s="48">
        <f t="shared" si="0"/>
        <v>143.904</v>
      </c>
    </row>
    <row r="55" spans="1:7" x14ac:dyDescent="0.25">
      <c r="A55" s="4">
        <v>5201</v>
      </c>
      <c r="B55" s="4" t="s">
        <v>43</v>
      </c>
      <c r="C55" s="5">
        <v>24</v>
      </c>
      <c r="D55" s="7"/>
      <c r="E55" s="48">
        <v>14.99</v>
      </c>
      <c r="G55" s="48">
        <f t="shared" si="0"/>
        <v>287.80799999999999</v>
      </c>
    </row>
    <row r="56" spans="1:7" x14ac:dyDescent="0.25">
      <c r="A56" s="4">
        <v>5203</v>
      </c>
      <c r="B56" s="4" t="s">
        <v>44</v>
      </c>
      <c r="C56" s="5">
        <v>12</v>
      </c>
      <c r="D56" s="7">
        <v>20</v>
      </c>
      <c r="E56" s="48">
        <v>14.99</v>
      </c>
      <c r="G56" s="48">
        <f t="shared" si="0"/>
        <v>143.904</v>
      </c>
    </row>
    <row r="57" spans="1:7" x14ac:dyDescent="0.25">
      <c r="A57" s="4">
        <v>5206</v>
      </c>
      <c r="B57" s="4" t="s">
        <v>302</v>
      </c>
      <c r="C57" s="5">
        <v>12</v>
      </c>
      <c r="D57" s="7">
        <v>4</v>
      </c>
      <c r="E57" s="48">
        <v>14.99</v>
      </c>
      <c r="G57" s="48">
        <f t="shared" si="0"/>
        <v>143.904</v>
      </c>
    </row>
    <row r="58" spans="1:7" x14ac:dyDescent="0.25">
      <c r="A58" s="4">
        <v>5207</v>
      </c>
      <c r="B58" s="4" t="s">
        <v>45</v>
      </c>
      <c r="C58" s="5">
        <v>6</v>
      </c>
      <c r="D58" s="7"/>
      <c r="E58" s="6">
        <v>19.989999999999998</v>
      </c>
      <c r="G58" s="48">
        <f t="shared" si="0"/>
        <v>95.951999999999998</v>
      </c>
    </row>
    <row r="59" spans="1:7" x14ac:dyDescent="0.25">
      <c r="A59" s="4">
        <v>5209</v>
      </c>
      <c r="B59" s="4" t="s">
        <v>303</v>
      </c>
      <c r="C59" s="5">
        <v>12</v>
      </c>
      <c r="D59" s="7">
        <v>5</v>
      </c>
      <c r="E59" s="6">
        <v>19.989999999999998</v>
      </c>
      <c r="G59" s="48">
        <f t="shared" si="0"/>
        <v>191.904</v>
      </c>
    </row>
    <row r="60" spans="1:7" x14ac:dyDescent="0.25">
      <c r="A60" s="4">
        <v>5220</v>
      </c>
      <c r="B60" s="4" t="s">
        <v>46</v>
      </c>
      <c r="C60" s="5">
        <v>12</v>
      </c>
      <c r="D60" s="7">
        <v>10</v>
      </c>
      <c r="E60" s="6">
        <v>14.99</v>
      </c>
      <c r="F60" t="s">
        <v>330</v>
      </c>
      <c r="G60" s="48">
        <f t="shared" si="0"/>
        <v>143.904</v>
      </c>
    </row>
    <row r="61" spans="1:7" x14ac:dyDescent="0.25">
      <c r="A61" s="4">
        <v>5221</v>
      </c>
      <c r="B61" s="4" t="s">
        <v>47</v>
      </c>
      <c r="C61" s="5">
        <v>12</v>
      </c>
      <c r="D61" s="7">
        <v>10</v>
      </c>
      <c r="E61" s="6">
        <v>14.99</v>
      </c>
      <c r="F61" t="s">
        <v>330</v>
      </c>
      <c r="G61" s="48">
        <f t="shared" si="0"/>
        <v>143.904</v>
      </c>
    </row>
    <row r="62" spans="1:7" x14ac:dyDescent="0.25">
      <c r="A62" s="4">
        <v>5222</v>
      </c>
      <c r="B62" s="4" t="s">
        <v>48</v>
      </c>
      <c r="C62" s="5">
        <v>8</v>
      </c>
      <c r="D62" s="7">
        <v>10</v>
      </c>
      <c r="E62" s="6">
        <v>14.99</v>
      </c>
      <c r="F62" t="s">
        <v>330</v>
      </c>
      <c r="G62" s="48">
        <f t="shared" si="0"/>
        <v>95.936000000000007</v>
      </c>
    </row>
    <row r="63" spans="1:7" x14ac:dyDescent="0.25">
      <c r="A63" s="4">
        <v>5223</v>
      </c>
      <c r="B63" s="4" t="s">
        <v>49</v>
      </c>
      <c r="C63" s="5">
        <v>12</v>
      </c>
      <c r="D63" s="7">
        <v>10</v>
      </c>
      <c r="E63" s="6">
        <v>12.99</v>
      </c>
      <c r="F63" t="s">
        <v>330</v>
      </c>
      <c r="G63" s="48">
        <f t="shared" si="0"/>
        <v>124.70400000000001</v>
      </c>
    </row>
    <row r="64" spans="1:7" x14ac:dyDescent="0.25">
      <c r="A64" s="4">
        <v>5224</v>
      </c>
      <c r="B64" s="4" t="s">
        <v>50</v>
      </c>
      <c r="C64" s="5">
        <v>8</v>
      </c>
      <c r="D64" s="7"/>
      <c r="E64" s="6">
        <v>19.989999999999998</v>
      </c>
      <c r="F64" t="s">
        <v>330</v>
      </c>
      <c r="G64" s="48">
        <f t="shared" si="0"/>
        <v>127.93599999999999</v>
      </c>
    </row>
    <row r="65" spans="1:7" x14ac:dyDescent="0.25">
      <c r="A65" s="4">
        <v>5225</v>
      </c>
      <c r="B65" s="4" t="s">
        <v>51</v>
      </c>
      <c r="C65" s="5">
        <v>12</v>
      </c>
      <c r="D65" s="7">
        <v>10</v>
      </c>
      <c r="E65" s="6">
        <v>12.99</v>
      </c>
      <c r="F65" t="s">
        <v>330</v>
      </c>
      <c r="G65" s="48">
        <f t="shared" si="0"/>
        <v>124.70400000000001</v>
      </c>
    </row>
    <row r="66" spans="1:7" x14ac:dyDescent="0.25">
      <c r="A66" s="4">
        <v>5226</v>
      </c>
      <c r="B66" s="4" t="s">
        <v>52</v>
      </c>
      <c r="C66" s="5">
        <v>24</v>
      </c>
      <c r="D66" s="7">
        <v>10</v>
      </c>
      <c r="E66" s="6">
        <v>9.99</v>
      </c>
      <c r="F66" t="s">
        <v>330</v>
      </c>
      <c r="G66" s="48">
        <f t="shared" si="0"/>
        <v>191.80799999999999</v>
      </c>
    </row>
    <row r="67" spans="1:7" x14ac:dyDescent="0.25">
      <c r="A67" s="4">
        <v>5227</v>
      </c>
      <c r="B67" s="4" t="s">
        <v>53</v>
      </c>
      <c r="C67" s="5">
        <v>12</v>
      </c>
      <c r="D67" s="7">
        <v>10</v>
      </c>
      <c r="E67" s="6">
        <v>14.99</v>
      </c>
      <c r="F67" t="s">
        <v>330</v>
      </c>
      <c r="G67" s="48">
        <f t="shared" si="0"/>
        <v>143.904</v>
      </c>
    </row>
    <row r="68" spans="1:7" x14ac:dyDescent="0.25">
      <c r="A68" s="4">
        <v>5228</v>
      </c>
      <c r="B68" s="4" t="s">
        <v>54</v>
      </c>
      <c r="C68" s="5">
        <v>12</v>
      </c>
      <c r="D68" s="7">
        <v>10</v>
      </c>
      <c r="E68" s="6">
        <v>14.99</v>
      </c>
      <c r="F68" t="s">
        <v>330</v>
      </c>
      <c r="G68" s="48">
        <f t="shared" si="0"/>
        <v>143.904</v>
      </c>
    </row>
    <row r="69" spans="1:7" x14ac:dyDescent="0.25">
      <c r="A69" s="4">
        <v>5229</v>
      </c>
      <c r="B69" s="4" t="s">
        <v>55</v>
      </c>
      <c r="C69" s="5">
        <v>4</v>
      </c>
      <c r="D69" s="7">
        <v>10</v>
      </c>
      <c r="E69" s="49">
        <v>39.99</v>
      </c>
      <c r="F69" t="s">
        <v>330</v>
      </c>
      <c r="G69" s="48">
        <f t="shared" si="0"/>
        <v>127.96800000000002</v>
      </c>
    </row>
    <row r="70" spans="1:7" x14ac:dyDescent="0.25">
      <c r="A70" s="4">
        <v>6017</v>
      </c>
      <c r="B70" s="4" t="s">
        <v>304</v>
      </c>
      <c r="C70" s="5">
        <v>12</v>
      </c>
      <c r="D70" s="7">
        <v>12</v>
      </c>
      <c r="E70" s="6">
        <v>14.99</v>
      </c>
      <c r="G70" s="48">
        <f t="shared" si="0"/>
        <v>143.904</v>
      </c>
    </row>
    <row r="71" spans="1:7" x14ac:dyDescent="0.25">
      <c r="A71" s="4">
        <v>6018</v>
      </c>
      <c r="B71" s="4" t="s">
        <v>305</v>
      </c>
      <c r="C71" s="5">
        <v>12</v>
      </c>
      <c r="D71" s="7">
        <v>13</v>
      </c>
      <c r="E71" s="6">
        <v>14.99</v>
      </c>
      <c r="G71" s="48">
        <f t="shared" si="0"/>
        <v>143.904</v>
      </c>
    </row>
    <row r="72" spans="1:7" x14ac:dyDescent="0.25">
      <c r="A72" s="4">
        <v>6020</v>
      </c>
      <c r="B72" s="4" t="s">
        <v>307</v>
      </c>
      <c r="C72" s="5">
        <v>8</v>
      </c>
      <c r="D72" s="7">
        <v>3</v>
      </c>
      <c r="E72" s="6">
        <v>19.989999999999998</v>
      </c>
      <c r="G72" s="48">
        <f t="shared" si="0"/>
        <v>127.93599999999999</v>
      </c>
    </row>
    <row r="73" spans="1:7" x14ac:dyDescent="0.25">
      <c r="A73" s="4">
        <v>6021</v>
      </c>
      <c r="B73" s="4" t="s">
        <v>306</v>
      </c>
      <c r="C73" s="5">
        <v>24</v>
      </c>
      <c r="D73" s="7">
        <v>1</v>
      </c>
      <c r="E73" s="6">
        <v>9.99</v>
      </c>
      <c r="G73" s="48">
        <f t="shared" ref="G73:G128" si="1">SUM(C73*E73*0.8)</f>
        <v>191.80799999999999</v>
      </c>
    </row>
    <row r="74" spans="1:7" x14ac:dyDescent="0.25">
      <c r="A74" s="4">
        <v>5604</v>
      </c>
      <c r="B74" s="4" t="s">
        <v>77</v>
      </c>
      <c r="C74" s="5">
        <v>30</v>
      </c>
      <c r="D74" s="7">
        <v>20</v>
      </c>
      <c r="E74" s="6">
        <v>4.99</v>
      </c>
      <c r="G74" s="48">
        <f t="shared" si="1"/>
        <v>119.76000000000002</v>
      </c>
    </row>
    <row r="75" spans="1:7" x14ac:dyDescent="0.25">
      <c r="A75" s="4" t="s">
        <v>78</v>
      </c>
      <c r="B75" s="4" t="s">
        <v>79</v>
      </c>
      <c r="C75" s="5">
        <v>15</v>
      </c>
      <c r="D75" s="7"/>
      <c r="E75" s="6">
        <v>9.99</v>
      </c>
      <c r="G75" s="48">
        <f t="shared" si="1"/>
        <v>119.88</v>
      </c>
    </row>
    <row r="76" spans="1:7" x14ac:dyDescent="0.25">
      <c r="A76" s="4" t="s">
        <v>80</v>
      </c>
      <c r="B76" s="4" t="s">
        <v>81</v>
      </c>
      <c r="C76" s="5">
        <v>12</v>
      </c>
      <c r="D76" s="7">
        <v>23</v>
      </c>
      <c r="E76" s="6">
        <v>14.99</v>
      </c>
      <c r="G76" s="48">
        <f t="shared" si="1"/>
        <v>143.904</v>
      </c>
    </row>
    <row r="77" spans="1:7" x14ac:dyDescent="0.25">
      <c r="A77" s="4"/>
      <c r="B77" s="4"/>
      <c r="C77" s="5"/>
      <c r="D77" s="7"/>
      <c r="E77" s="6"/>
      <c r="G77" s="48"/>
    </row>
    <row r="78" spans="1:7" ht="18.75" x14ac:dyDescent="0.3">
      <c r="A78" s="47" t="s">
        <v>280</v>
      </c>
      <c r="B78" s="1"/>
      <c r="E78" s="48"/>
      <c r="G78" s="48"/>
    </row>
    <row r="79" spans="1:7" x14ac:dyDescent="0.25">
      <c r="A79" s="4">
        <v>5434</v>
      </c>
      <c r="B79" s="4" t="s">
        <v>308</v>
      </c>
      <c r="C79" s="5">
        <v>6</v>
      </c>
      <c r="D79" s="7">
        <v>16</v>
      </c>
      <c r="E79" s="6">
        <v>49.99</v>
      </c>
      <c r="G79" s="48">
        <f t="shared" si="1"/>
        <v>239.952</v>
      </c>
    </row>
    <row r="80" spans="1:7" x14ac:dyDescent="0.25">
      <c r="A80" s="4">
        <v>5446</v>
      </c>
      <c r="B80" s="4" t="s">
        <v>309</v>
      </c>
      <c r="C80" s="5">
        <v>6</v>
      </c>
      <c r="D80" s="7">
        <v>19</v>
      </c>
      <c r="E80" s="6">
        <v>39.99</v>
      </c>
      <c r="G80" s="48">
        <f t="shared" si="1"/>
        <v>191.952</v>
      </c>
    </row>
    <row r="81" spans="1:7" x14ac:dyDescent="0.25">
      <c r="A81" s="4">
        <v>5601</v>
      </c>
      <c r="B81" s="4" t="s">
        <v>74</v>
      </c>
      <c r="C81" s="5">
        <v>4</v>
      </c>
      <c r="D81" s="7">
        <v>10</v>
      </c>
      <c r="E81" s="6">
        <v>39.99</v>
      </c>
      <c r="F81" t="s">
        <v>330</v>
      </c>
      <c r="G81" s="48">
        <f t="shared" si="1"/>
        <v>127.96800000000002</v>
      </c>
    </row>
    <row r="82" spans="1:7" x14ac:dyDescent="0.25">
      <c r="A82" s="4">
        <v>5482</v>
      </c>
      <c r="B82" s="4" t="s">
        <v>310</v>
      </c>
      <c r="C82" s="5">
        <v>3</v>
      </c>
      <c r="D82" s="7">
        <v>7</v>
      </c>
      <c r="E82" s="6">
        <v>69.989999999999995</v>
      </c>
      <c r="G82" s="48">
        <f t="shared" si="1"/>
        <v>167.976</v>
      </c>
    </row>
    <row r="83" spans="1:7" x14ac:dyDescent="0.25">
      <c r="A83" s="4">
        <v>5483</v>
      </c>
      <c r="B83" s="4" t="s">
        <v>58</v>
      </c>
      <c r="C83" s="5">
        <v>3</v>
      </c>
      <c r="D83" s="7">
        <v>4</v>
      </c>
      <c r="E83" s="6">
        <v>85.99</v>
      </c>
      <c r="G83" s="48">
        <f t="shared" si="1"/>
        <v>206.37599999999998</v>
      </c>
    </row>
    <row r="84" spans="1:7" x14ac:dyDescent="0.25">
      <c r="A84" s="4">
        <v>8011</v>
      </c>
      <c r="B84" s="4" t="s">
        <v>88</v>
      </c>
      <c r="C84" s="5">
        <v>6</v>
      </c>
      <c r="D84" s="7">
        <v>32</v>
      </c>
      <c r="E84" s="6">
        <v>34.99</v>
      </c>
      <c r="G84" s="48">
        <f t="shared" si="1"/>
        <v>167.952</v>
      </c>
    </row>
    <row r="85" spans="1:7" x14ac:dyDescent="0.25">
      <c r="A85" s="4">
        <v>8016</v>
      </c>
      <c r="B85" s="4" t="s">
        <v>89</v>
      </c>
      <c r="C85" s="5">
        <v>6</v>
      </c>
      <c r="D85" s="7">
        <v>27</v>
      </c>
      <c r="E85" s="6">
        <v>39.99</v>
      </c>
      <c r="G85" s="48">
        <f t="shared" si="1"/>
        <v>191.952</v>
      </c>
    </row>
    <row r="86" spans="1:7" x14ac:dyDescent="0.25">
      <c r="A86" s="4">
        <v>8018</v>
      </c>
      <c r="B86" s="4" t="s">
        <v>311</v>
      </c>
      <c r="C86" s="5">
        <v>4</v>
      </c>
      <c r="D86" s="7">
        <v>4</v>
      </c>
      <c r="E86" s="6">
        <v>49.99</v>
      </c>
      <c r="G86" s="48">
        <f t="shared" si="1"/>
        <v>159.96800000000002</v>
      </c>
    </row>
    <row r="87" spans="1:7" x14ac:dyDescent="0.25">
      <c r="A87" s="4">
        <v>8026</v>
      </c>
      <c r="B87" s="4" t="s">
        <v>90</v>
      </c>
      <c r="C87" s="5">
        <v>6</v>
      </c>
      <c r="D87" s="7">
        <v>17</v>
      </c>
      <c r="E87" s="6">
        <v>39.99</v>
      </c>
      <c r="G87" s="48">
        <f t="shared" si="1"/>
        <v>191.952</v>
      </c>
    </row>
    <row r="88" spans="1:7" x14ac:dyDescent="0.25">
      <c r="A88" s="4">
        <v>5497</v>
      </c>
      <c r="B88" s="4" t="s">
        <v>61</v>
      </c>
      <c r="C88" s="5">
        <v>4</v>
      </c>
      <c r="D88" s="7">
        <v>4</v>
      </c>
      <c r="E88" s="6">
        <v>64.989999999999995</v>
      </c>
      <c r="G88" s="48">
        <f t="shared" si="1"/>
        <v>207.96799999999999</v>
      </c>
    </row>
    <row r="89" spans="1:7" x14ac:dyDescent="0.25">
      <c r="A89" s="4">
        <v>5527</v>
      </c>
      <c r="B89" s="4" t="s">
        <v>65</v>
      </c>
      <c r="C89" s="5">
        <v>4</v>
      </c>
      <c r="D89" s="7">
        <v>6</v>
      </c>
      <c r="E89" s="6">
        <v>59.99</v>
      </c>
      <c r="G89" s="48">
        <f t="shared" si="1"/>
        <v>191.96800000000002</v>
      </c>
    </row>
    <row r="90" spans="1:7" x14ac:dyDescent="0.25">
      <c r="A90" s="4">
        <v>5532</v>
      </c>
      <c r="B90" s="4" t="s">
        <v>312</v>
      </c>
      <c r="C90" s="5">
        <v>4</v>
      </c>
      <c r="D90" s="7">
        <v>9</v>
      </c>
      <c r="E90" s="6">
        <v>64.989999999999995</v>
      </c>
      <c r="G90" s="48">
        <f t="shared" si="1"/>
        <v>207.96799999999999</v>
      </c>
    </row>
    <row r="91" spans="1:7" x14ac:dyDescent="0.25">
      <c r="A91" s="4">
        <v>5502</v>
      </c>
      <c r="B91" s="4" t="s">
        <v>313</v>
      </c>
      <c r="C91" s="5">
        <v>3</v>
      </c>
      <c r="D91" s="7">
        <v>11</v>
      </c>
      <c r="E91" s="6">
        <v>74.989999999999995</v>
      </c>
      <c r="G91" s="48">
        <f t="shared" si="1"/>
        <v>179.976</v>
      </c>
    </row>
    <row r="92" spans="1:7" x14ac:dyDescent="0.25">
      <c r="A92" s="4">
        <v>5506</v>
      </c>
      <c r="B92" s="4" t="s">
        <v>62</v>
      </c>
      <c r="C92" s="5">
        <v>4</v>
      </c>
      <c r="D92" s="7"/>
      <c r="E92" s="6">
        <v>48.99</v>
      </c>
      <c r="G92" s="48">
        <f t="shared" si="1"/>
        <v>156.76800000000003</v>
      </c>
    </row>
    <row r="93" spans="1:7" x14ac:dyDescent="0.25">
      <c r="A93" s="4">
        <v>5507</v>
      </c>
      <c r="B93" s="4" t="s">
        <v>63</v>
      </c>
      <c r="C93" s="5">
        <v>4</v>
      </c>
      <c r="D93" s="7"/>
      <c r="E93" s="6">
        <v>48.99</v>
      </c>
      <c r="G93" s="48">
        <f t="shared" si="1"/>
        <v>156.76800000000003</v>
      </c>
    </row>
    <row r="94" spans="1:7" x14ac:dyDescent="0.25">
      <c r="A94" s="4">
        <v>5511</v>
      </c>
      <c r="B94" s="4" t="s">
        <v>64</v>
      </c>
      <c r="C94" s="5">
        <v>4</v>
      </c>
      <c r="D94" s="7">
        <v>22</v>
      </c>
      <c r="E94" s="6">
        <v>49.999000000000002</v>
      </c>
      <c r="G94" s="48">
        <f t="shared" si="1"/>
        <v>159.99680000000001</v>
      </c>
    </row>
    <row r="95" spans="1:7" x14ac:dyDescent="0.25">
      <c r="A95" s="4">
        <v>5540</v>
      </c>
      <c r="B95" s="4" t="s">
        <v>66</v>
      </c>
      <c r="C95" s="5">
        <v>4</v>
      </c>
      <c r="D95" s="7">
        <v>5</v>
      </c>
      <c r="E95" s="6">
        <v>54.99</v>
      </c>
      <c r="G95" s="48">
        <f t="shared" si="1"/>
        <v>175.96800000000002</v>
      </c>
    </row>
    <row r="96" spans="1:7" x14ac:dyDescent="0.25">
      <c r="A96" s="4">
        <v>5541</v>
      </c>
      <c r="B96" s="4" t="s">
        <v>67</v>
      </c>
      <c r="C96" s="5">
        <v>4</v>
      </c>
      <c r="D96" s="7">
        <v>11</v>
      </c>
      <c r="E96" s="6">
        <v>59.99</v>
      </c>
      <c r="G96" s="48">
        <f t="shared" si="1"/>
        <v>191.96800000000002</v>
      </c>
    </row>
    <row r="97" spans="1:7" x14ac:dyDescent="0.25">
      <c r="A97" s="4">
        <v>5586</v>
      </c>
      <c r="B97" s="4" t="s">
        <v>314</v>
      </c>
      <c r="C97" s="5">
        <v>4</v>
      </c>
      <c r="D97" s="7">
        <v>3</v>
      </c>
      <c r="E97" s="6">
        <v>49.99</v>
      </c>
      <c r="G97" s="48">
        <f t="shared" si="1"/>
        <v>159.96800000000002</v>
      </c>
    </row>
    <row r="98" spans="1:7" x14ac:dyDescent="0.25">
      <c r="A98" s="4">
        <v>5587</v>
      </c>
      <c r="B98" s="4" t="s">
        <v>315</v>
      </c>
      <c r="C98" s="5">
        <v>4</v>
      </c>
      <c r="D98" s="7">
        <v>8</v>
      </c>
      <c r="E98" s="6">
        <v>64.989999999999995</v>
      </c>
      <c r="G98" s="48">
        <f t="shared" si="1"/>
        <v>207.96799999999999</v>
      </c>
    </row>
    <row r="99" spans="1:7" x14ac:dyDescent="0.25">
      <c r="A99" s="4">
        <v>5542</v>
      </c>
      <c r="B99" s="4" t="s">
        <v>316</v>
      </c>
      <c r="C99" s="5">
        <v>4</v>
      </c>
      <c r="D99" s="7">
        <v>9</v>
      </c>
      <c r="E99" s="6">
        <v>54.99</v>
      </c>
      <c r="G99" s="48">
        <f t="shared" si="1"/>
        <v>175.96800000000002</v>
      </c>
    </row>
    <row r="100" spans="1:7" x14ac:dyDescent="0.25">
      <c r="A100" s="4">
        <v>5607</v>
      </c>
      <c r="B100" s="4" t="s">
        <v>82</v>
      </c>
      <c r="C100" s="5">
        <v>4</v>
      </c>
      <c r="D100" s="7">
        <v>10</v>
      </c>
      <c r="E100" s="6">
        <v>44.99</v>
      </c>
      <c r="F100" t="s">
        <v>330</v>
      </c>
      <c r="G100" s="48">
        <f t="shared" si="1"/>
        <v>143.96800000000002</v>
      </c>
    </row>
    <row r="101" spans="1:7" x14ac:dyDescent="0.25">
      <c r="A101" s="4">
        <v>5608</v>
      </c>
      <c r="B101" s="4" t="s">
        <v>83</v>
      </c>
      <c r="C101" s="5">
        <v>4</v>
      </c>
      <c r="D101" s="7">
        <v>10</v>
      </c>
      <c r="E101" s="6">
        <v>54.99</v>
      </c>
      <c r="F101" t="s">
        <v>330</v>
      </c>
      <c r="G101" s="48">
        <f t="shared" si="1"/>
        <v>175.96800000000002</v>
      </c>
    </row>
    <row r="102" spans="1:7" x14ac:dyDescent="0.25">
      <c r="A102" s="4">
        <v>5610</v>
      </c>
      <c r="B102" s="4" t="s">
        <v>84</v>
      </c>
      <c r="C102" s="5">
        <v>4</v>
      </c>
      <c r="D102" s="7">
        <v>10</v>
      </c>
      <c r="E102" s="6">
        <v>59.99</v>
      </c>
      <c r="F102" t="s">
        <v>330</v>
      </c>
      <c r="G102" s="48">
        <f t="shared" si="1"/>
        <v>191.96800000000002</v>
      </c>
    </row>
    <row r="103" spans="1:7" x14ac:dyDescent="0.25">
      <c r="A103" s="4">
        <v>5611</v>
      </c>
      <c r="B103" s="4" t="s">
        <v>85</v>
      </c>
      <c r="C103" s="5">
        <v>4</v>
      </c>
      <c r="D103" s="7">
        <v>10</v>
      </c>
      <c r="E103" s="6">
        <v>39.99</v>
      </c>
      <c r="F103" t="s">
        <v>330</v>
      </c>
      <c r="G103" s="48">
        <f t="shared" si="1"/>
        <v>127.96800000000002</v>
      </c>
    </row>
    <row r="104" spans="1:7" x14ac:dyDescent="0.25">
      <c r="A104" s="4">
        <v>5615</v>
      </c>
      <c r="B104" s="4" t="s">
        <v>87</v>
      </c>
      <c r="C104" s="5">
        <v>4</v>
      </c>
      <c r="D104" s="7">
        <v>10</v>
      </c>
      <c r="E104" s="49">
        <v>54.99</v>
      </c>
      <c r="F104" t="s">
        <v>330</v>
      </c>
      <c r="G104" s="48">
        <f t="shared" si="1"/>
        <v>175.96800000000002</v>
      </c>
    </row>
    <row r="105" spans="1:7" x14ac:dyDescent="0.25">
      <c r="A105" s="4">
        <v>5555</v>
      </c>
      <c r="B105" s="4" t="s">
        <v>317</v>
      </c>
      <c r="C105" s="5">
        <v>3</v>
      </c>
      <c r="D105" s="7">
        <v>7</v>
      </c>
      <c r="E105" s="6">
        <v>79.989999999999995</v>
      </c>
      <c r="G105" s="48">
        <f t="shared" si="1"/>
        <v>191.976</v>
      </c>
    </row>
    <row r="106" spans="1:7" x14ac:dyDescent="0.25">
      <c r="A106" s="4">
        <v>5591</v>
      </c>
      <c r="B106" s="4" t="s">
        <v>318</v>
      </c>
      <c r="C106" s="5">
        <v>4</v>
      </c>
      <c r="D106" s="7">
        <v>2</v>
      </c>
      <c r="E106" s="6">
        <v>44.99</v>
      </c>
      <c r="G106" s="48">
        <f t="shared" si="1"/>
        <v>143.96800000000002</v>
      </c>
    </row>
    <row r="107" spans="1:7" x14ac:dyDescent="0.25">
      <c r="A107" s="4">
        <v>5592</v>
      </c>
      <c r="B107" s="4" t="s">
        <v>73</v>
      </c>
      <c r="C107" s="5">
        <v>2</v>
      </c>
      <c r="D107" s="7">
        <v>5</v>
      </c>
      <c r="E107" s="50">
        <v>99.99</v>
      </c>
      <c r="G107" s="48">
        <f t="shared" si="1"/>
        <v>159.98400000000001</v>
      </c>
    </row>
    <row r="108" spans="1:7" x14ac:dyDescent="0.25">
      <c r="A108" s="4">
        <v>5558</v>
      </c>
      <c r="B108" s="4" t="s">
        <v>69</v>
      </c>
      <c r="C108" s="5">
        <v>4</v>
      </c>
      <c r="D108" s="7">
        <v>15</v>
      </c>
      <c r="E108" s="6">
        <v>69.989999999999995</v>
      </c>
      <c r="G108" s="48">
        <f t="shared" si="1"/>
        <v>223.96799999999999</v>
      </c>
    </row>
    <row r="109" spans="1:7" x14ac:dyDescent="0.25">
      <c r="A109" s="4">
        <v>5544</v>
      </c>
      <c r="B109" s="4" t="s">
        <v>68</v>
      </c>
      <c r="C109" s="5">
        <v>4</v>
      </c>
      <c r="D109" s="7">
        <v>2</v>
      </c>
      <c r="E109" s="6">
        <v>69.989999999999995</v>
      </c>
      <c r="G109" s="48">
        <f t="shared" si="1"/>
        <v>223.96799999999999</v>
      </c>
    </row>
    <row r="110" spans="1:7" x14ac:dyDescent="0.25">
      <c r="A110" s="4">
        <v>5546</v>
      </c>
      <c r="B110" s="4" t="s">
        <v>319</v>
      </c>
      <c r="C110" s="5">
        <v>4</v>
      </c>
      <c r="D110" s="7">
        <v>3</v>
      </c>
      <c r="E110" s="6">
        <v>59.99</v>
      </c>
      <c r="G110" s="48">
        <f t="shared" si="1"/>
        <v>191.96800000000002</v>
      </c>
    </row>
    <row r="111" spans="1:7" x14ac:dyDescent="0.25">
      <c r="A111" s="4">
        <v>5547</v>
      </c>
      <c r="B111" s="4" t="s">
        <v>320</v>
      </c>
      <c r="C111" s="5">
        <v>4</v>
      </c>
      <c r="D111" s="7">
        <v>8</v>
      </c>
      <c r="E111" s="6">
        <v>89.99</v>
      </c>
      <c r="G111" s="48">
        <f t="shared" si="1"/>
        <v>287.96800000000002</v>
      </c>
    </row>
    <row r="112" spans="1:7" x14ac:dyDescent="0.25">
      <c r="A112" s="4">
        <v>5566</v>
      </c>
      <c r="B112" s="4" t="s">
        <v>321</v>
      </c>
      <c r="C112" s="5">
        <v>3</v>
      </c>
      <c r="D112" s="7">
        <v>7</v>
      </c>
      <c r="E112" s="6">
        <v>69.989999999999995</v>
      </c>
      <c r="G112" s="48">
        <f t="shared" si="1"/>
        <v>167.976</v>
      </c>
    </row>
    <row r="113" spans="1:7" x14ac:dyDescent="0.25">
      <c r="A113" s="4">
        <v>5570</v>
      </c>
      <c r="B113" s="4" t="s">
        <v>70</v>
      </c>
      <c r="C113" s="5">
        <v>6</v>
      </c>
      <c r="D113" s="7"/>
      <c r="E113" s="6">
        <v>34.99</v>
      </c>
      <c r="G113" s="48">
        <f t="shared" si="1"/>
        <v>167.952</v>
      </c>
    </row>
    <row r="114" spans="1:7" x14ac:dyDescent="0.25">
      <c r="A114" s="4">
        <v>5571</v>
      </c>
      <c r="B114" s="4" t="s">
        <v>71</v>
      </c>
      <c r="C114" s="5">
        <v>6</v>
      </c>
      <c r="D114" s="7"/>
      <c r="E114" s="51">
        <v>34.99</v>
      </c>
      <c r="G114" s="48">
        <f t="shared" si="1"/>
        <v>167.952</v>
      </c>
    </row>
    <row r="115" spans="1:7" x14ac:dyDescent="0.25">
      <c r="A115" s="4"/>
      <c r="B115" s="4"/>
      <c r="C115" s="5"/>
      <c r="D115" s="7"/>
      <c r="E115" s="52"/>
      <c r="G115" s="48"/>
    </row>
    <row r="116" spans="1:7" x14ac:dyDescent="0.25">
      <c r="A116" s="4">
        <v>5602</v>
      </c>
      <c r="B116" s="4" t="s">
        <v>75</v>
      </c>
      <c r="C116" s="5">
        <v>2</v>
      </c>
      <c r="D116" s="7">
        <v>30</v>
      </c>
      <c r="E116" s="6">
        <v>74.989999999999995</v>
      </c>
      <c r="F116" t="s">
        <v>330</v>
      </c>
      <c r="G116" s="48">
        <f t="shared" si="1"/>
        <v>119.98399999999999</v>
      </c>
    </row>
    <row r="117" spans="1:7" x14ac:dyDescent="0.25">
      <c r="A117" s="4">
        <v>5603</v>
      </c>
      <c r="B117" s="4" t="s">
        <v>76</v>
      </c>
      <c r="C117" s="5">
        <v>4</v>
      </c>
      <c r="D117" s="7"/>
      <c r="E117" s="6">
        <v>44.99</v>
      </c>
      <c r="F117" t="s">
        <v>330</v>
      </c>
      <c r="G117" s="48">
        <f t="shared" si="1"/>
        <v>143.96800000000002</v>
      </c>
    </row>
    <row r="118" spans="1:7" x14ac:dyDescent="0.25">
      <c r="A118" s="9" t="s">
        <v>97</v>
      </c>
      <c r="B118" s="4" t="s">
        <v>98</v>
      </c>
      <c r="C118" s="5">
        <v>4</v>
      </c>
      <c r="D118" s="7">
        <v>6</v>
      </c>
      <c r="E118" s="6">
        <v>59.99</v>
      </c>
      <c r="G118" s="48">
        <f t="shared" si="1"/>
        <v>191.96800000000002</v>
      </c>
    </row>
    <row r="119" spans="1:7" x14ac:dyDescent="0.25">
      <c r="A119" s="9" t="s">
        <v>100</v>
      </c>
      <c r="B119" s="4" t="s">
        <v>101</v>
      </c>
      <c r="C119" s="5">
        <v>4</v>
      </c>
      <c r="D119" s="7">
        <v>10</v>
      </c>
      <c r="E119" s="49">
        <v>54.99</v>
      </c>
      <c r="F119" t="s">
        <v>330</v>
      </c>
      <c r="G119" s="48">
        <f t="shared" si="1"/>
        <v>175.96800000000002</v>
      </c>
    </row>
    <row r="120" spans="1:7" ht="18.75" x14ac:dyDescent="0.3">
      <c r="A120" s="47" t="s">
        <v>279</v>
      </c>
      <c r="B120" s="1"/>
      <c r="E120" s="48"/>
      <c r="G120" s="48"/>
    </row>
    <row r="121" spans="1:7" x14ac:dyDescent="0.25">
      <c r="A121" s="4">
        <v>5510</v>
      </c>
      <c r="B121" s="4" t="s">
        <v>285</v>
      </c>
      <c r="C121" s="5">
        <v>2</v>
      </c>
      <c r="D121" s="7">
        <v>7</v>
      </c>
      <c r="E121" s="6">
        <v>119.99</v>
      </c>
      <c r="G121" s="48">
        <f t="shared" si="1"/>
        <v>191.98400000000001</v>
      </c>
    </row>
    <row r="122" spans="1:7" x14ac:dyDescent="0.25">
      <c r="A122" s="4">
        <v>5498</v>
      </c>
      <c r="B122" s="4" t="s">
        <v>277</v>
      </c>
      <c r="C122" s="5">
        <v>2</v>
      </c>
      <c r="D122" s="7"/>
      <c r="E122" s="6">
        <v>119.99</v>
      </c>
      <c r="G122" s="48">
        <f t="shared" si="1"/>
        <v>191.98400000000001</v>
      </c>
    </row>
    <row r="123" spans="1:7" x14ac:dyDescent="0.25">
      <c r="A123" s="4">
        <v>5536</v>
      </c>
      <c r="B123" s="4" t="s">
        <v>284</v>
      </c>
      <c r="C123" s="5">
        <v>2</v>
      </c>
      <c r="D123" s="7">
        <v>9</v>
      </c>
      <c r="E123" s="6">
        <v>119.99</v>
      </c>
      <c r="G123" s="48">
        <f t="shared" si="1"/>
        <v>191.98400000000001</v>
      </c>
    </row>
    <row r="124" spans="1:7" x14ac:dyDescent="0.25">
      <c r="A124" s="4">
        <v>5486</v>
      </c>
      <c r="B124" s="4" t="s">
        <v>60</v>
      </c>
      <c r="C124" s="5">
        <v>2</v>
      </c>
      <c r="D124" s="7">
        <v>10</v>
      </c>
      <c r="E124" s="6">
        <v>119.99</v>
      </c>
      <c r="G124" s="48">
        <f t="shared" si="1"/>
        <v>191.98400000000001</v>
      </c>
    </row>
    <row r="125" spans="1:7" x14ac:dyDescent="0.25">
      <c r="A125" s="4">
        <v>5493</v>
      </c>
      <c r="B125" s="4" t="s">
        <v>278</v>
      </c>
      <c r="C125" s="5">
        <v>2</v>
      </c>
      <c r="D125" s="7">
        <v>4</v>
      </c>
      <c r="E125" s="6">
        <v>119.99</v>
      </c>
      <c r="G125" s="48">
        <f t="shared" si="1"/>
        <v>191.98400000000001</v>
      </c>
    </row>
    <row r="126" spans="1:7" x14ac:dyDescent="0.25">
      <c r="A126" s="4">
        <v>5494</v>
      </c>
      <c r="B126" s="4" t="s">
        <v>283</v>
      </c>
      <c r="C126" s="5">
        <v>2</v>
      </c>
      <c r="D126" s="7">
        <v>6</v>
      </c>
      <c r="E126" s="6">
        <v>119.99</v>
      </c>
      <c r="G126" s="48">
        <f t="shared" si="1"/>
        <v>191.98400000000001</v>
      </c>
    </row>
    <row r="127" spans="1:7" x14ac:dyDescent="0.25">
      <c r="A127" s="4">
        <v>5388</v>
      </c>
      <c r="B127" s="4" t="s">
        <v>56</v>
      </c>
      <c r="C127" s="5">
        <v>2</v>
      </c>
      <c r="D127" s="7">
        <v>20</v>
      </c>
      <c r="E127" s="6">
        <v>119.99</v>
      </c>
      <c r="G127" s="48">
        <f t="shared" si="1"/>
        <v>191.98400000000001</v>
      </c>
    </row>
    <row r="128" spans="1:7" x14ac:dyDescent="0.25">
      <c r="A128" s="4">
        <v>5470</v>
      </c>
      <c r="B128" s="4" t="s">
        <v>57</v>
      </c>
      <c r="C128" s="5">
        <v>2</v>
      </c>
      <c r="D128" s="7">
        <v>2</v>
      </c>
      <c r="E128" s="6">
        <v>119.99</v>
      </c>
      <c r="G128" s="48">
        <f t="shared" si="1"/>
        <v>191.98400000000001</v>
      </c>
    </row>
    <row r="129" spans="1:7" x14ac:dyDescent="0.25">
      <c r="A129" s="1"/>
      <c r="B129" s="1"/>
      <c r="E129" s="48"/>
    </row>
    <row r="130" spans="1:7" x14ac:dyDescent="0.25">
      <c r="A130" s="1"/>
      <c r="B130" s="1"/>
      <c r="E130" s="48"/>
    </row>
    <row r="131" spans="1:7" ht="18.75" x14ac:dyDescent="0.3">
      <c r="A131" s="44" t="s">
        <v>282</v>
      </c>
      <c r="B131" s="4"/>
      <c r="C131" s="5"/>
      <c r="D131" s="7"/>
      <c r="E131" s="6"/>
    </row>
    <row r="132" spans="1:7" x14ac:dyDescent="0.25">
      <c r="A132" s="4">
        <v>5331</v>
      </c>
      <c r="B132" s="4" t="s">
        <v>286</v>
      </c>
      <c r="C132" s="5">
        <v>1</v>
      </c>
      <c r="D132" s="7">
        <v>84</v>
      </c>
      <c r="E132" s="6">
        <v>119.99</v>
      </c>
      <c r="G132" s="48">
        <v>119.99</v>
      </c>
    </row>
    <row r="133" spans="1:7" x14ac:dyDescent="0.25">
      <c r="A133" s="4">
        <v>5563</v>
      </c>
      <c r="B133" s="4" t="s">
        <v>287</v>
      </c>
      <c r="C133" s="5">
        <v>1</v>
      </c>
      <c r="D133" s="7">
        <v>32</v>
      </c>
      <c r="E133" s="6">
        <v>139.99</v>
      </c>
      <c r="F133" t="s">
        <v>332</v>
      </c>
      <c r="G133" s="48">
        <v>139.99</v>
      </c>
    </row>
    <row r="134" spans="1:7" x14ac:dyDescent="0.25">
      <c r="A134" s="4">
        <v>5576</v>
      </c>
      <c r="B134" s="4" t="s">
        <v>72</v>
      </c>
      <c r="C134" s="5">
        <v>1</v>
      </c>
      <c r="D134" s="7">
        <v>15</v>
      </c>
      <c r="E134" s="53">
        <v>139.99</v>
      </c>
      <c r="F134" t="s">
        <v>332</v>
      </c>
      <c r="G134" s="48">
        <v>139.99</v>
      </c>
    </row>
    <row r="135" spans="1:7" x14ac:dyDescent="0.25">
      <c r="A135" s="4">
        <v>5589</v>
      </c>
      <c r="B135" s="4" t="s">
        <v>288</v>
      </c>
      <c r="C135" s="5">
        <v>1</v>
      </c>
      <c r="D135" s="7">
        <v>50</v>
      </c>
      <c r="E135" s="6">
        <v>139.99</v>
      </c>
      <c r="F135" t="s">
        <v>332</v>
      </c>
      <c r="G135" s="48">
        <v>139.99</v>
      </c>
    </row>
    <row r="136" spans="1:7" x14ac:dyDescent="0.25">
      <c r="A136" s="4">
        <v>5593</v>
      </c>
      <c r="B136" s="4" t="s">
        <v>289</v>
      </c>
      <c r="C136" s="5">
        <v>1</v>
      </c>
      <c r="D136" s="7"/>
      <c r="E136" s="6">
        <v>139.99</v>
      </c>
      <c r="F136" t="s">
        <v>332</v>
      </c>
      <c r="G136" s="48">
        <v>139.99</v>
      </c>
    </row>
    <row r="137" spans="1:7" x14ac:dyDescent="0.25">
      <c r="A137" s="4">
        <v>5595</v>
      </c>
      <c r="B137" s="4" t="s">
        <v>290</v>
      </c>
      <c r="C137" s="5">
        <v>1</v>
      </c>
      <c r="D137" s="7">
        <v>2</v>
      </c>
      <c r="E137" s="6">
        <v>139.99</v>
      </c>
      <c r="F137" t="s">
        <v>332</v>
      </c>
      <c r="G137" s="48">
        <v>139.99</v>
      </c>
    </row>
    <row r="138" spans="1:7" x14ac:dyDescent="0.25">
      <c r="A138" s="4">
        <v>5484</v>
      </c>
      <c r="B138" s="4" t="s">
        <v>59</v>
      </c>
      <c r="C138" s="5">
        <v>2</v>
      </c>
      <c r="D138" s="7">
        <v>29</v>
      </c>
      <c r="E138" s="6">
        <v>119.99</v>
      </c>
      <c r="F138" t="s">
        <v>332</v>
      </c>
      <c r="G138" s="48">
        <f t="shared" ref="G138:G168" si="2">SUM(C138*E138*0.8)</f>
        <v>191.98400000000001</v>
      </c>
    </row>
    <row r="139" spans="1:7" x14ac:dyDescent="0.25">
      <c r="A139" s="4">
        <v>5579</v>
      </c>
      <c r="B139" s="4" t="s">
        <v>331</v>
      </c>
      <c r="C139" s="5">
        <v>2</v>
      </c>
      <c r="D139" s="7">
        <v>20</v>
      </c>
      <c r="E139" s="6">
        <v>109.99</v>
      </c>
      <c r="G139" s="48">
        <f t="shared" si="2"/>
        <v>175.98400000000001</v>
      </c>
    </row>
    <row r="140" spans="1:7" x14ac:dyDescent="0.25">
      <c r="A140" s="4"/>
      <c r="B140" s="4"/>
      <c r="C140" s="5"/>
      <c r="D140" s="7"/>
      <c r="E140" s="6"/>
      <c r="G140" s="48"/>
    </row>
    <row r="141" spans="1:7" ht="18.75" x14ac:dyDescent="0.3">
      <c r="A141" s="44" t="s">
        <v>291</v>
      </c>
      <c r="B141" s="4"/>
      <c r="C141" s="5"/>
      <c r="D141" s="7"/>
      <c r="E141" s="6"/>
      <c r="G141" s="48"/>
    </row>
    <row r="142" spans="1:7" x14ac:dyDescent="0.25">
      <c r="A142" s="4">
        <v>5090</v>
      </c>
      <c r="B142" s="4" t="s">
        <v>322</v>
      </c>
      <c r="C142" s="5">
        <v>12</v>
      </c>
      <c r="D142" s="7">
        <v>3</v>
      </c>
      <c r="E142" s="6">
        <v>29.99</v>
      </c>
      <c r="F142" s="8"/>
      <c r="G142" s="6">
        <f t="shared" si="2"/>
        <v>287.904</v>
      </c>
    </row>
    <row r="143" spans="1:7" x14ac:dyDescent="0.25">
      <c r="A143" s="4">
        <v>5091</v>
      </c>
      <c r="B143" s="4" t="s">
        <v>31</v>
      </c>
      <c r="C143" s="5">
        <v>3</v>
      </c>
      <c r="D143" s="7">
        <v>20</v>
      </c>
      <c r="E143" s="6">
        <v>99.99</v>
      </c>
      <c r="F143" t="s">
        <v>330</v>
      </c>
      <c r="G143" s="48">
        <f t="shared" si="2"/>
        <v>239.976</v>
      </c>
    </row>
    <row r="144" spans="1:7" x14ac:dyDescent="0.25">
      <c r="A144" s="9">
        <v>8029</v>
      </c>
      <c r="B144" s="4" t="s">
        <v>91</v>
      </c>
      <c r="C144" s="5">
        <v>12</v>
      </c>
      <c r="D144" s="7">
        <v>21</v>
      </c>
      <c r="E144" s="6">
        <v>29.99</v>
      </c>
      <c r="G144" s="48">
        <f t="shared" si="2"/>
        <v>287.904</v>
      </c>
    </row>
    <row r="145" spans="1:7" x14ac:dyDescent="0.25">
      <c r="A145" s="9" t="s">
        <v>93</v>
      </c>
      <c r="B145" s="4" t="s">
        <v>94</v>
      </c>
      <c r="C145" s="5">
        <v>12</v>
      </c>
      <c r="D145" s="7">
        <v>5</v>
      </c>
      <c r="E145" s="6">
        <v>24.99</v>
      </c>
      <c r="G145" s="48">
        <f t="shared" si="2"/>
        <v>239.904</v>
      </c>
    </row>
    <row r="146" spans="1:7" x14ac:dyDescent="0.25">
      <c r="A146" s="9">
        <v>8044</v>
      </c>
      <c r="B146" s="4" t="s">
        <v>323</v>
      </c>
      <c r="C146" s="5">
        <v>12</v>
      </c>
      <c r="D146" s="7">
        <v>25</v>
      </c>
      <c r="E146" s="6">
        <v>29.99</v>
      </c>
      <c r="G146" s="48">
        <f t="shared" si="2"/>
        <v>287.904</v>
      </c>
    </row>
    <row r="147" spans="1:7" x14ac:dyDescent="0.25">
      <c r="A147" s="9">
        <v>8053</v>
      </c>
      <c r="B147" s="4" t="s">
        <v>324</v>
      </c>
      <c r="C147" s="5">
        <v>12</v>
      </c>
      <c r="D147" s="7">
        <v>3</v>
      </c>
      <c r="E147" s="6">
        <v>29.99</v>
      </c>
      <c r="G147" s="48">
        <f t="shared" si="2"/>
        <v>287.904</v>
      </c>
    </row>
    <row r="148" spans="1:7" x14ac:dyDescent="0.25">
      <c r="A148" s="9">
        <v>8046</v>
      </c>
      <c r="B148" s="4" t="s">
        <v>95</v>
      </c>
      <c r="C148" s="5">
        <v>12</v>
      </c>
      <c r="D148" s="7">
        <v>23</v>
      </c>
      <c r="E148" s="6">
        <v>29.99</v>
      </c>
      <c r="G148" s="48">
        <f t="shared" si="2"/>
        <v>287.904</v>
      </c>
    </row>
    <row r="149" spans="1:7" x14ac:dyDescent="0.25">
      <c r="A149" s="4">
        <v>8031</v>
      </c>
      <c r="B149" s="4" t="s">
        <v>92</v>
      </c>
      <c r="C149" s="5">
        <v>4</v>
      </c>
      <c r="D149" s="7">
        <v>14</v>
      </c>
      <c r="E149" s="6">
        <v>99.99</v>
      </c>
      <c r="G149" s="48">
        <f t="shared" si="2"/>
        <v>319.96800000000002</v>
      </c>
    </row>
    <row r="150" spans="1:7" x14ac:dyDescent="0.25">
      <c r="A150" s="9">
        <v>8048</v>
      </c>
      <c r="B150" s="4" t="s">
        <v>99</v>
      </c>
      <c r="C150" s="5">
        <v>6</v>
      </c>
      <c r="D150" s="7"/>
      <c r="E150" s="6">
        <v>29.99</v>
      </c>
      <c r="G150" s="48">
        <f t="shared" si="2"/>
        <v>143.952</v>
      </c>
    </row>
    <row r="151" spans="1:7" x14ac:dyDescent="0.25">
      <c r="A151" s="4">
        <v>8034</v>
      </c>
      <c r="B151" s="4" t="s">
        <v>325</v>
      </c>
      <c r="C151" s="5">
        <v>4</v>
      </c>
      <c r="D151" s="7">
        <v>13</v>
      </c>
      <c r="E151" s="6">
        <v>109.99</v>
      </c>
      <c r="G151" s="48">
        <f t="shared" si="2"/>
        <v>351.96800000000002</v>
      </c>
    </row>
    <row r="152" spans="1:7" x14ac:dyDescent="0.25">
      <c r="A152" s="9">
        <v>8047</v>
      </c>
      <c r="B152" s="4" t="s">
        <v>96</v>
      </c>
      <c r="C152" s="5">
        <v>4</v>
      </c>
      <c r="D152" s="7"/>
      <c r="E152" s="6">
        <v>89.99</v>
      </c>
      <c r="G152" s="48">
        <f t="shared" si="2"/>
        <v>287.96800000000002</v>
      </c>
    </row>
    <row r="153" spans="1:7" x14ac:dyDescent="0.25">
      <c r="A153" s="9">
        <v>8049</v>
      </c>
      <c r="B153" s="4" t="s">
        <v>326</v>
      </c>
      <c r="C153" s="5">
        <v>3</v>
      </c>
      <c r="D153" s="7">
        <v>9</v>
      </c>
      <c r="E153" s="6">
        <v>149.99</v>
      </c>
      <c r="G153" s="48">
        <f t="shared" si="2"/>
        <v>359.97600000000006</v>
      </c>
    </row>
    <row r="154" spans="1:7" x14ac:dyDescent="0.25">
      <c r="A154" s="9">
        <v>8051</v>
      </c>
      <c r="B154" s="4" t="s">
        <v>102</v>
      </c>
      <c r="C154" s="5">
        <v>6</v>
      </c>
      <c r="D154" s="7">
        <v>1</v>
      </c>
      <c r="E154" s="6">
        <v>64.989999999999995</v>
      </c>
      <c r="G154" s="48">
        <f t="shared" si="2"/>
        <v>311.952</v>
      </c>
    </row>
    <row r="155" spans="1:7" x14ac:dyDescent="0.25">
      <c r="A155" s="9">
        <v>8055</v>
      </c>
      <c r="B155" s="4" t="s">
        <v>327</v>
      </c>
      <c r="C155" s="5">
        <v>4</v>
      </c>
      <c r="D155" s="7">
        <v>11</v>
      </c>
      <c r="E155" s="6">
        <v>89.99</v>
      </c>
      <c r="G155" s="48">
        <f t="shared" si="2"/>
        <v>287.96800000000002</v>
      </c>
    </row>
    <row r="156" spans="1:7" x14ac:dyDescent="0.25">
      <c r="A156" s="9">
        <v>8057</v>
      </c>
      <c r="B156" s="4" t="s">
        <v>103</v>
      </c>
      <c r="C156" s="5">
        <v>3</v>
      </c>
      <c r="D156" s="7"/>
      <c r="E156" s="6">
        <v>149.99</v>
      </c>
      <c r="F156" t="s">
        <v>330</v>
      </c>
      <c r="G156" s="48">
        <f t="shared" si="2"/>
        <v>359.97600000000006</v>
      </c>
    </row>
    <row r="157" spans="1:7" x14ac:dyDescent="0.25">
      <c r="A157" s="9" t="s">
        <v>116</v>
      </c>
      <c r="B157" s="4" t="s">
        <v>117</v>
      </c>
      <c r="C157" s="5">
        <v>12</v>
      </c>
      <c r="D157" s="7">
        <v>9</v>
      </c>
      <c r="E157" s="6">
        <v>9.99</v>
      </c>
      <c r="G157" s="48">
        <f t="shared" si="2"/>
        <v>95.903999999999996</v>
      </c>
    </row>
    <row r="158" spans="1:7" x14ac:dyDescent="0.25">
      <c r="A158" s="9" t="s">
        <v>118</v>
      </c>
      <c r="B158" s="4" t="s">
        <v>328</v>
      </c>
      <c r="C158" s="5">
        <v>12</v>
      </c>
      <c r="D158" s="7">
        <v>25</v>
      </c>
      <c r="E158" s="6">
        <v>9.99</v>
      </c>
      <c r="G158" s="48">
        <f t="shared" si="2"/>
        <v>95.903999999999996</v>
      </c>
    </row>
    <row r="159" spans="1:7" x14ac:dyDescent="0.25">
      <c r="A159" s="9" t="s">
        <v>119</v>
      </c>
      <c r="B159" s="4" t="s">
        <v>329</v>
      </c>
      <c r="C159" s="5">
        <v>12</v>
      </c>
      <c r="D159" s="7">
        <v>25</v>
      </c>
      <c r="E159" s="6">
        <v>9.99</v>
      </c>
      <c r="G159" s="48">
        <f t="shared" si="2"/>
        <v>95.903999999999996</v>
      </c>
    </row>
    <row r="160" spans="1:7" x14ac:dyDescent="0.25">
      <c r="A160" s="9"/>
      <c r="B160" s="4"/>
      <c r="C160" s="5"/>
      <c r="D160" s="7"/>
      <c r="E160" s="6"/>
      <c r="G160" s="48">
        <f t="shared" si="2"/>
        <v>0</v>
      </c>
    </row>
    <row r="161" spans="1:7" x14ac:dyDescent="0.25">
      <c r="A161" s="9"/>
      <c r="B161" s="4"/>
      <c r="C161" s="5"/>
      <c r="D161" s="7"/>
      <c r="E161" s="6"/>
      <c r="G161" s="48">
        <f t="shared" si="2"/>
        <v>0</v>
      </c>
    </row>
    <row r="162" spans="1:7" ht="18.75" x14ac:dyDescent="0.3">
      <c r="A162" s="46" t="s">
        <v>281</v>
      </c>
      <c r="B162" s="4"/>
      <c r="C162" s="5"/>
      <c r="D162" s="7"/>
      <c r="E162" s="6"/>
      <c r="G162" s="48">
        <f t="shared" si="2"/>
        <v>0</v>
      </c>
    </row>
    <row r="163" spans="1:7" x14ac:dyDescent="0.25">
      <c r="A163" s="9" t="s">
        <v>104</v>
      </c>
      <c r="B163" s="4" t="s">
        <v>105</v>
      </c>
      <c r="C163" s="5">
        <v>24</v>
      </c>
      <c r="D163" s="7">
        <v>7</v>
      </c>
      <c r="E163" s="6">
        <v>4.75</v>
      </c>
      <c r="F163" t="s">
        <v>333</v>
      </c>
      <c r="G163" s="48">
        <f t="shared" si="2"/>
        <v>91.2</v>
      </c>
    </row>
    <row r="164" spans="1:7" x14ac:dyDescent="0.25">
      <c r="A164" s="9" t="s">
        <v>106</v>
      </c>
      <c r="B164" s="4" t="s">
        <v>107</v>
      </c>
      <c r="C164" s="5">
        <v>16</v>
      </c>
      <c r="D164" s="7">
        <v>9</v>
      </c>
      <c r="E164" s="6">
        <v>4.75</v>
      </c>
      <c r="F164" t="s">
        <v>333</v>
      </c>
      <c r="G164" s="48">
        <f t="shared" si="2"/>
        <v>60.800000000000004</v>
      </c>
    </row>
    <row r="165" spans="1:7" x14ac:dyDescent="0.25">
      <c r="A165" s="9" t="s">
        <v>108</v>
      </c>
      <c r="B165" s="4" t="s">
        <v>109</v>
      </c>
      <c r="C165" s="5">
        <v>8</v>
      </c>
      <c r="D165" s="7">
        <v>1</v>
      </c>
      <c r="E165" s="6">
        <v>9.49</v>
      </c>
      <c r="F165" t="s">
        <v>333</v>
      </c>
      <c r="G165" s="48">
        <f t="shared" si="2"/>
        <v>60.736000000000004</v>
      </c>
    </row>
    <row r="166" spans="1:7" x14ac:dyDescent="0.25">
      <c r="A166" s="9" t="s">
        <v>110</v>
      </c>
      <c r="B166" s="4" t="s">
        <v>111</v>
      </c>
      <c r="C166" s="5">
        <v>4</v>
      </c>
      <c r="D166" s="7">
        <v>10</v>
      </c>
      <c r="E166" s="6">
        <v>18.989999999999998</v>
      </c>
      <c r="F166" t="s">
        <v>333</v>
      </c>
      <c r="G166" s="48">
        <f t="shared" si="2"/>
        <v>60.768000000000001</v>
      </c>
    </row>
    <row r="167" spans="1:7" x14ac:dyDescent="0.25">
      <c r="A167" s="9" t="s">
        <v>112</v>
      </c>
      <c r="B167" s="4" t="s">
        <v>113</v>
      </c>
      <c r="C167" s="5">
        <v>2</v>
      </c>
      <c r="D167" s="7">
        <v>9</v>
      </c>
      <c r="E167" s="6">
        <v>37.99</v>
      </c>
      <c r="F167" t="s">
        <v>333</v>
      </c>
      <c r="G167" s="48">
        <f t="shared" si="2"/>
        <v>60.784000000000006</v>
      </c>
    </row>
    <row r="168" spans="1:7" x14ac:dyDescent="0.25">
      <c r="A168" s="9" t="s">
        <v>114</v>
      </c>
      <c r="B168" s="4" t="s">
        <v>115</v>
      </c>
      <c r="C168" s="5">
        <v>1</v>
      </c>
      <c r="D168" s="7"/>
      <c r="E168" s="6">
        <v>75.989999999999995</v>
      </c>
      <c r="F168" t="s">
        <v>333</v>
      </c>
      <c r="G168" s="48">
        <f t="shared" si="2"/>
        <v>60.792000000000002</v>
      </c>
    </row>
    <row r="169" spans="1:7" x14ac:dyDescent="0.25">
      <c r="A169" s="9"/>
      <c r="B169" s="4"/>
      <c r="C169" s="5"/>
      <c r="D169" s="7"/>
      <c r="E169" s="6"/>
    </row>
    <row r="170" spans="1:7" x14ac:dyDescent="0.25">
      <c r="A170" s="12"/>
      <c r="B170" s="4"/>
      <c r="C170" s="5"/>
      <c r="D170" s="7"/>
      <c r="E170" s="13"/>
    </row>
  </sheetData>
  <pageMargins left="0.7" right="0.7" top="0.75" bottom="0.75" header="0.3" footer="0.3"/>
  <pageSetup scale="8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68C7-1C55-411B-BDC4-0B54B14C6015}">
  <sheetPr>
    <pageSetUpPr fitToPage="1"/>
  </sheetPr>
  <dimension ref="A1:AB51"/>
  <sheetViews>
    <sheetView workbookViewId="0">
      <selection activeCell="AA3" sqref="AA3"/>
    </sheetView>
  </sheetViews>
  <sheetFormatPr defaultRowHeight="15" x14ac:dyDescent="0.25"/>
  <cols>
    <col min="2" max="2" width="25.7109375" customWidth="1"/>
    <col min="3" max="5" width="8.7109375" customWidth="1"/>
    <col min="6" max="6" width="0" hidden="1" customWidth="1"/>
    <col min="7" max="7" width="50.7109375" customWidth="1"/>
    <col min="9" max="25" width="0" hidden="1" customWidth="1"/>
    <col min="28" max="28" width="0" hidden="1" customWidth="1"/>
  </cols>
  <sheetData>
    <row r="1" spans="1:28" ht="24.95" customHeight="1" x14ac:dyDescent="0.45">
      <c r="A1" s="37" t="s">
        <v>271</v>
      </c>
    </row>
    <row r="2" spans="1:28" ht="27" customHeight="1" x14ac:dyDescent="0.25">
      <c r="A2" s="14" t="s">
        <v>0</v>
      </c>
      <c r="B2" s="14" t="s">
        <v>120</v>
      </c>
      <c r="C2" s="15" t="s">
        <v>121</v>
      </c>
      <c r="D2" s="14" t="s">
        <v>122</v>
      </c>
      <c r="E2" s="14" t="s">
        <v>123</v>
      </c>
      <c r="F2" s="14"/>
      <c r="G2" s="14" t="s">
        <v>1</v>
      </c>
      <c r="H2" s="16" t="s">
        <v>2</v>
      </c>
      <c r="I2" s="16" t="s">
        <v>3</v>
      </c>
      <c r="J2" s="17" t="s">
        <v>261</v>
      </c>
      <c r="K2" s="16" t="s">
        <v>13</v>
      </c>
      <c r="L2" s="16" t="s">
        <v>5</v>
      </c>
      <c r="M2" s="16" t="s">
        <v>5</v>
      </c>
      <c r="N2" s="16" t="s">
        <v>6</v>
      </c>
      <c r="O2" s="18" t="s">
        <v>124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125</v>
      </c>
      <c r="U2" s="18" t="s">
        <v>126</v>
      </c>
      <c r="V2" s="18" t="s">
        <v>127</v>
      </c>
      <c r="W2" s="18" t="s">
        <v>128</v>
      </c>
      <c r="X2" s="18" t="s">
        <v>129</v>
      </c>
      <c r="Y2" s="18" t="s">
        <v>130</v>
      </c>
      <c r="Z2" s="18" t="s">
        <v>131</v>
      </c>
      <c r="AA2" s="16" t="s">
        <v>127</v>
      </c>
      <c r="AB2" s="14"/>
    </row>
    <row r="3" spans="1:28" ht="20.100000000000001" customHeight="1" x14ac:dyDescent="0.35">
      <c r="A3" s="36" t="s">
        <v>269</v>
      </c>
      <c r="AB3" s="19"/>
    </row>
    <row r="4" spans="1:28" x14ac:dyDescent="0.25">
      <c r="A4" s="4" t="s">
        <v>132</v>
      </c>
      <c r="B4" s="10" t="s">
        <v>262</v>
      </c>
      <c r="C4" s="4">
        <v>14</v>
      </c>
      <c r="D4" s="4">
        <v>225</v>
      </c>
      <c r="E4" s="4">
        <v>12</v>
      </c>
      <c r="F4" s="4" t="s">
        <v>133</v>
      </c>
      <c r="G4" s="4" t="s">
        <v>134</v>
      </c>
      <c r="H4" s="4">
        <v>2</v>
      </c>
      <c r="I4" s="4">
        <v>3.4000000000000002E-2</v>
      </c>
      <c r="J4" s="20">
        <v>30</v>
      </c>
      <c r="K4" s="20">
        <f>SUM(H4*J4)</f>
        <v>60</v>
      </c>
      <c r="L4" s="8">
        <v>52.62</v>
      </c>
      <c r="M4" s="8">
        <f t="shared" ref="M4" si="0">SUM(L4*1)</f>
        <v>52.62</v>
      </c>
      <c r="N4" s="8">
        <f>SUM(I4*425)</f>
        <v>14.450000000000001</v>
      </c>
      <c r="O4" s="8">
        <f>SUM(M4+N4)</f>
        <v>67.069999999999993</v>
      </c>
      <c r="P4" s="8">
        <f>SUM(O4/H4)</f>
        <v>33.534999999999997</v>
      </c>
      <c r="Q4" s="8">
        <f>SUM(O4*1.25)</f>
        <v>83.837499999999991</v>
      </c>
      <c r="R4" s="8">
        <f>SUM(O4*1.5)</f>
        <v>100.60499999999999</v>
      </c>
      <c r="S4" s="8">
        <f>SUM(O4*1.75)</f>
        <v>117.37249999999999</v>
      </c>
      <c r="T4" s="8">
        <f>SUM(O4*2)</f>
        <v>134.13999999999999</v>
      </c>
      <c r="U4" s="8">
        <f>SUM(O4*2.25)</f>
        <v>150.90749999999997</v>
      </c>
      <c r="V4" s="8">
        <f>SUM(P4*2.1)</f>
        <v>70.42349999999999</v>
      </c>
      <c r="W4" s="8">
        <f t="shared" ref="W4:W49" si="1">SUM(P4*2.5)</f>
        <v>83.837499999999991</v>
      </c>
      <c r="X4" s="8">
        <f>SUM(P4*2.75)</f>
        <v>92.221249999999998</v>
      </c>
      <c r="Y4" s="8">
        <f>SUM(P4*3)</f>
        <v>100.60499999999999</v>
      </c>
      <c r="Z4" s="6">
        <v>150.69</v>
      </c>
      <c r="AA4" s="6">
        <v>82.88</v>
      </c>
      <c r="AB4" s="4"/>
    </row>
    <row r="5" spans="1:28" x14ac:dyDescent="0.25">
      <c r="A5" s="4" t="s">
        <v>135</v>
      </c>
      <c r="B5" s="10" t="s">
        <v>263</v>
      </c>
      <c r="C5" s="4">
        <v>16</v>
      </c>
      <c r="D5" s="4">
        <v>225</v>
      </c>
      <c r="E5" s="4">
        <v>12</v>
      </c>
      <c r="F5" s="4" t="s">
        <v>136</v>
      </c>
      <c r="G5" s="4" t="s">
        <v>137</v>
      </c>
      <c r="H5" s="4">
        <v>1</v>
      </c>
      <c r="I5" s="4">
        <v>6.9000000000000006E-2</v>
      </c>
      <c r="J5" s="20">
        <v>30</v>
      </c>
      <c r="K5" s="21">
        <f t="shared" ref="K5:K49" si="2">SUM(H5*J5)</f>
        <v>30</v>
      </c>
      <c r="L5" s="8">
        <v>46.02</v>
      </c>
      <c r="M5" s="8">
        <v>46.02</v>
      </c>
      <c r="N5" s="8">
        <f t="shared" ref="N5:N49" si="3">SUM(I5*425)</f>
        <v>29.325000000000003</v>
      </c>
      <c r="O5" s="8">
        <f t="shared" ref="O5:O49" si="4">SUM(M5+N5)</f>
        <v>75.344999999999999</v>
      </c>
      <c r="P5" s="8">
        <f t="shared" ref="P5:P49" si="5">SUM(O5/H5)</f>
        <v>75.344999999999999</v>
      </c>
      <c r="Q5" s="8">
        <f t="shared" ref="Q5:Q49" si="6">SUM(O5*1.25)</f>
        <v>94.181250000000006</v>
      </c>
      <c r="R5" s="8">
        <f t="shared" ref="R5:R49" si="7">SUM(O5*1.5)</f>
        <v>113.0175</v>
      </c>
      <c r="S5" s="8">
        <f t="shared" ref="S5:S49" si="8">SUM(O5*1.75)</f>
        <v>131.85374999999999</v>
      </c>
      <c r="T5" s="8">
        <f t="shared" ref="T5:T49" si="9">SUM(O5*2)</f>
        <v>150.69</v>
      </c>
      <c r="U5" s="8">
        <f t="shared" ref="U5:V49" si="10">SUM(O5*2.25)</f>
        <v>169.52625</v>
      </c>
      <c r="V5" s="8">
        <f t="shared" si="10"/>
        <v>169.52625</v>
      </c>
      <c r="W5" s="8">
        <f t="shared" si="1"/>
        <v>188.36250000000001</v>
      </c>
      <c r="X5" s="8">
        <f t="shared" ref="X5:X49" si="11">SUM(P5*2.75)</f>
        <v>207.19874999999999</v>
      </c>
      <c r="Y5" s="8">
        <f t="shared" ref="Y5:Y49" si="12">SUM(P5*3)</f>
        <v>226.035</v>
      </c>
      <c r="Z5" s="6">
        <v>150.69</v>
      </c>
      <c r="AA5" s="6"/>
      <c r="AB5" s="4"/>
    </row>
    <row r="6" spans="1:28" x14ac:dyDescent="0.25">
      <c r="A6" s="4" t="s">
        <v>138</v>
      </c>
      <c r="B6" s="10" t="s">
        <v>264</v>
      </c>
      <c r="C6" s="4">
        <v>16</v>
      </c>
      <c r="D6" s="4">
        <v>225</v>
      </c>
      <c r="E6" s="4">
        <v>25</v>
      </c>
      <c r="F6" s="4" t="s">
        <v>139</v>
      </c>
      <c r="G6" s="4" t="s">
        <v>140</v>
      </c>
      <c r="H6" s="4">
        <v>1</v>
      </c>
      <c r="I6" s="4">
        <v>6.9000000000000006E-2</v>
      </c>
      <c r="J6" s="20">
        <v>30</v>
      </c>
      <c r="K6" s="21">
        <f t="shared" si="2"/>
        <v>30</v>
      </c>
      <c r="L6" s="8">
        <v>46.02</v>
      </c>
      <c r="M6" s="8">
        <v>46.02</v>
      </c>
      <c r="N6" s="8">
        <f t="shared" si="3"/>
        <v>29.325000000000003</v>
      </c>
      <c r="O6" s="8">
        <f t="shared" si="4"/>
        <v>75.344999999999999</v>
      </c>
      <c r="P6" s="8">
        <f t="shared" si="5"/>
        <v>75.344999999999999</v>
      </c>
      <c r="Q6" s="8">
        <f t="shared" si="6"/>
        <v>94.181250000000006</v>
      </c>
      <c r="R6" s="8">
        <f t="shared" si="7"/>
        <v>113.0175</v>
      </c>
      <c r="S6" s="8">
        <f t="shared" si="8"/>
        <v>131.85374999999999</v>
      </c>
      <c r="T6" s="8">
        <f t="shared" si="9"/>
        <v>150.69</v>
      </c>
      <c r="U6" s="8">
        <f t="shared" si="10"/>
        <v>169.52625</v>
      </c>
      <c r="V6" s="8">
        <f t="shared" si="10"/>
        <v>169.52625</v>
      </c>
      <c r="W6" s="8">
        <f t="shared" si="1"/>
        <v>188.36250000000001</v>
      </c>
      <c r="X6" s="8">
        <f t="shared" si="11"/>
        <v>207.19874999999999</v>
      </c>
      <c r="Y6" s="8">
        <f t="shared" si="12"/>
        <v>226.035</v>
      </c>
      <c r="Z6" s="6">
        <v>150.69</v>
      </c>
      <c r="AA6" s="6"/>
      <c r="AB6" s="4"/>
    </row>
    <row r="7" spans="1:28" x14ac:dyDescent="0.25">
      <c r="A7" s="4" t="s">
        <v>141</v>
      </c>
      <c r="B7" s="10" t="s">
        <v>262</v>
      </c>
      <c r="C7" s="4">
        <v>16</v>
      </c>
      <c r="D7" s="4">
        <v>225</v>
      </c>
      <c r="E7" s="4">
        <v>13</v>
      </c>
      <c r="F7" s="4" t="s">
        <v>133</v>
      </c>
      <c r="G7" s="4" t="s">
        <v>134</v>
      </c>
      <c r="H7" s="4">
        <v>2</v>
      </c>
      <c r="I7" s="4">
        <v>3.4000000000000002E-2</v>
      </c>
      <c r="J7" s="20">
        <v>30</v>
      </c>
      <c r="K7" s="21">
        <f t="shared" si="2"/>
        <v>60</v>
      </c>
      <c r="L7" s="8">
        <v>46.02</v>
      </c>
      <c r="M7" s="8">
        <f t="shared" ref="M7:M49" si="13">SUM(L7*1)</f>
        <v>46.02</v>
      </c>
      <c r="N7" s="8">
        <f t="shared" si="3"/>
        <v>14.450000000000001</v>
      </c>
      <c r="O7" s="8">
        <f t="shared" si="4"/>
        <v>60.470000000000006</v>
      </c>
      <c r="P7" s="8">
        <f t="shared" si="5"/>
        <v>30.235000000000003</v>
      </c>
      <c r="Q7" s="8">
        <f t="shared" si="6"/>
        <v>75.587500000000006</v>
      </c>
      <c r="R7" s="8">
        <f t="shared" si="7"/>
        <v>90.705000000000013</v>
      </c>
      <c r="S7" s="8">
        <f t="shared" si="8"/>
        <v>105.82250000000001</v>
      </c>
      <c r="T7" s="8">
        <f t="shared" si="9"/>
        <v>120.94000000000001</v>
      </c>
      <c r="U7" s="8">
        <f t="shared" si="10"/>
        <v>136.0575</v>
      </c>
      <c r="V7" s="8">
        <f t="shared" si="10"/>
        <v>68.028750000000002</v>
      </c>
      <c r="W7" s="8">
        <f t="shared" si="1"/>
        <v>75.587500000000006</v>
      </c>
      <c r="X7" s="8">
        <f t="shared" si="11"/>
        <v>83.146250000000009</v>
      </c>
      <c r="Y7" s="8">
        <f t="shared" si="12"/>
        <v>90.705000000000013</v>
      </c>
      <c r="Z7" s="6">
        <v>150.69</v>
      </c>
      <c r="AA7" s="6">
        <v>82.88</v>
      </c>
      <c r="AB7" s="4"/>
    </row>
    <row r="8" spans="1:28" x14ac:dyDescent="0.25">
      <c r="A8" s="4" t="s">
        <v>142</v>
      </c>
      <c r="B8" s="10" t="s">
        <v>143</v>
      </c>
      <c r="C8" s="4">
        <v>16</v>
      </c>
      <c r="D8" s="4">
        <v>225</v>
      </c>
      <c r="E8" s="4">
        <v>40</v>
      </c>
      <c r="F8" s="4" t="s">
        <v>144</v>
      </c>
      <c r="G8" s="4" t="s">
        <v>145</v>
      </c>
      <c r="H8" s="4">
        <v>1</v>
      </c>
      <c r="I8" s="4">
        <v>3.4000000000000002E-2</v>
      </c>
      <c r="J8" s="20">
        <v>30</v>
      </c>
      <c r="K8" s="21">
        <f t="shared" si="2"/>
        <v>30</v>
      </c>
      <c r="L8" s="8">
        <v>46.02</v>
      </c>
      <c r="M8" s="8">
        <f t="shared" si="13"/>
        <v>46.02</v>
      </c>
      <c r="N8" s="8">
        <f t="shared" si="3"/>
        <v>14.450000000000001</v>
      </c>
      <c r="O8" s="8">
        <f t="shared" si="4"/>
        <v>60.470000000000006</v>
      </c>
      <c r="P8" s="8">
        <f t="shared" si="5"/>
        <v>60.470000000000006</v>
      </c>
      <c r="Q8" s="8">
        <f t="shared" si="6"/>
        <v>75.587500000000006</v>
      </c>
      <c r="R8" s="8">
        <f t="shared" si="7"/>
        <v>90.705000000000013</v>
      </c>
      <c r="S8" s="8">
        <f t="shared" si="8"/>
        <v>105.82250000000001</v>
      </c>
      <c r="T8" s="8">
        <f t="shared" si="9"/>
        <v>120.94000000000001</v>
      </c>
      <c r="U8" s="8">
        <f t="shared" si="10"/>
        <v>136.0575</v>
      </c>
      <c r="V8" s="8">
        <f t="shared" si="10"/>
        <v>136.0575</v>
      </c>
      <c r="W8" s="8">
        <f t="shared" si="1"/>
        <v>151.17500000000001</v>
      </c>
      <c r="X8" s="8">
        <f t="shared" si="11"/>
        <v>166.29250000000002</v>
      </c>
      <c r="Y8" s="8">
        <f t="shared" si="12"/>
        <v>181.41000000000003</v>
      </c>
      <c r="Z8" s="6">
        <v>150.69</v>
      </c>
      <c r="AA8" s="6"/>
      <c r="AB8" s="8"/>
    </row>
    <row r="9" spans="1:28" x14ac:dyDescent="0.25">
      <c r="A9" s="4" t="s">
        <v>146</v>
      </c>
      <c r="B9" s="10" t="s">
        <v>147</v>
      </c>
      <c r="C9" s="4">
        <v>16</v>
      </c>
      <c r="D9" s="4">
        <v>225</v>
      </c>
      <c r="E9" s="4">
        <v>20</v>
      </c>
      <c r="F9" s="4" t="s">
        <v>148</v>
      </c>
      <c r="G9" s="4" t="s">
        <v>149</v>
      </c>
      <c r="H9" s="4">
        <v>1</v>
      </c>
      <c r="I9" s="4">
        <v>3.4000000000000002E-2</v>
      </c>
      <c r="J9" s="20">
        <v>30</v>
      </c>
      <c r="K9" s="21">
        <f t="shared" si="2"/>
        <v>30</v>
      </c>
      <c r="L9" s="8">
        <v>46.02</v>
      </c>
      <c r="M9" s="8">
        <f t="shared" si="13"/>
        <v>46.02</v>
      </c>
      <c r="N9" s="8">
        <f t="shared" si="3"/>
        <v>14.450000000000001</v>
      </c>
      <c r="O9" s="8">
        <f t="shared" si="4"/>
        <v>60.470000000000006</v>
      </c>
      <c r="P9" s="8">
        <f t="shared" si="5"/>
        <v>60.470000000000006</v>
      </c>
      <c r="Q9" s="8">
        <f t="shared" si="6"/>
        <v>75.587500000000006</v>
      </c>
      <c r="R9" s="8">
        <f t="shared" si="7"/>
        <v>90.705000000000013</v>
      </c>
      <c r="S9" s="8">
        <f t="shared" si="8"/>
        <v>105.82250000000001</v>
      </c>
      <c r="T9" s="8">
        <f t="shared" si="9"/>
        <v>120.94000000000001</v>
      </c>
      <c r="U9" s="8">
        <f t="shared" si="10"/>
        <v>136.0575</v>
      </c>
      <c r="V9" s="8">
        <f t="shared" si="10"/>
        <v>136.0575</v>
      </c>
      <c r="W9" s="8">
        <f t="shared" si="1"/>
        <v>151.17500000000001</v>
      </c>
      <c r="X9" s="8">
        <f t="shared" si="11"/>
        <v>166.29250000000002</v>
      </c>
      <c r="Y9" s="8">
        <f t="shared" si="12"/>
        <v>181.41000000000003</v>
      </c>
      <c r="Z9" s="6">
        <v>150.69</v>
      </c>
      <c r="AA9" s="6"/>
      <c r="AB9" s="8"/>
    </row>
    <row r="10" spans="1:28" ht="20.100000000000001" customHeight="1" x14ac:dyDescent="0.35">
      <c r="A10" s="35" t="s">
        <v>266</v>
      </c>
      <c r="B10" s="10"/>
      <c r="C10" s="4"/>
      <c r="D10" s="4"/>
      <c r="E10" s="4"/>
      <c r="F10" s="4"/>
      <c r="G10" s="4"/>
      <c r="H10" s="4"/>
      <c r="I10" s="4"/>
      <c r="J10" s="20"/>
      <c r="K10" s="2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6"/>
      <c r="AA10" s="6"/>
      <c r="AB10" s="8"/>
    </row>
    <row r="11" spans="1:28" ht="65.099999999999994" customHeight="1" x14ac:dyDescent="0.25">
      <c r="A11" s="22" t="s">
        <v>150</v>
      </c>
      <c r="B11" s="33" t="s">
        <v>265</v>
      </c>
      <c r="C11" s="22">
        <v>20</v>
      </c>
      <c r="D11" s="22">
        <v>66</v>
      </c>
      <c r="E11" s="22">
        <v>55</v>
      </c>
      <c r="F11" s="22" t="s">
        <v>151</v>
      </c>
      <c r="G11" s="23" t="s">
        <v>260</v>
      </c>
      <c r="H11" s="22">
        <v>2</v>
      </c>
      <c r="I11" s="22">
        <v>3.7999999999999999E-2</v>
      </c>
      <c r="J11" s="41">
        <v>30</v>
      </c>
      <c r="K11" s="24">
        <f t="shared" si="2"/>
        <v>60</v>
      </c>
      <c r="L11" s="25">
        <v>37.44</v>
      </c>
      <c r="M11" s="25">
        <v>37.44</v>
      </c>
      <c r="N11" s="25">
        <f t="shared" si="3"/>
        <v>16.149999999999999</v>
      </c>
      <c r="O11" s="25">
        <f t="shared" si="4"/>
        <v>53.589999999999996</v>
      </c>
      <c r="P11" s="25">
        <f t="shared" si="5"/>
        <v>26.794999999999998</v>
      </c>
      <c r="Q11" s="25">
        <f t="shared" si="6"/>
        <v>66.987499999999997</v>
      </c>
      <c r="R11" s="25">
        <f t="shared" si="7"/>
        <v>80.384999999999991</v>
      </c>
      <c r="S11" s="25">
        <f t="shared" si="8"/>
        <v>93.782499999999999</v>
      </c>
      <c r="T11" s="25">
        <f t="shared" si="9"/>
        <v>107.17999999999999</v>
      </c>
      <c r="U11" s="25">
        <f t="shared" si="10"/>
        <v>120.57749999999999</v>
      </c>
      <c r="V11" s="25">
        <f t="shared" si="10"/>
        <v>60.288749999999993</v>
      </c>
      <c r="W11" s="25">
        <f t="shared" si="1"/>
        <v>66.987499999999997</v>
      </c>
      <c r="X11" s="25">
        <f t="shared" si="11"/>
        <v>73.686250000000001</v>
      </c>
      <c r="Y11" s="25">
        <f t="shared" si="12"/>
        <v>80.384999999999991</v>
      </c>
      <c r="Z11" s="26">
        <v>107.18</v>
      </c>
      <c r="AA11" s="26">
        <v>60.29</v>
      </c>
      <c r="AB11" s="25"/>
    </row>
    <row r="12" spans="1:28" x14ac:dyDescent="0.25">
      <c r="A12" s="4" t="s">
        <v>152</v>
      </c>
      <c r="B12" s="4" t="s">
        <v>153</v>
      </c>
      <c r="C12" s="4">
        <v>25</v>
      </c>
      <c r="D12" s="4">
        <v>30</v>
      </c>
      <c r="E12" s="4">
        <v>11</v>
      </c>
      <c r="F12" t="s">
        <v>154</v>
      </c>
      <c r="G12" s="4" t="s">
        <v>155</v>
      </c>
      <c r="H12" s="4">
        <v>4</v>
      </c>
      <c r="I12" s="4">
        <v>5.2999999999999999E-2</v>
      </c>
      <c r="J12" s="20">
        <v>30</v>
      </c>
      <c r="K12" s="21">
        <f t="shared" si="2"/>
        <v>120</v>
      </c>
      <c r="L12" s="8">
        <v>38.68</v>
      </c>
      <c r="M12" s="8">
        <f t="shared" si="13"/>
        <v>38.68</v>
      </c>
      <c r="N12" s="8">
        <f t="shared" si="3"/>
        <v>22.524999999999999</v>
      </c>
      <c r="O12" s="8">
        <f t="shared" si="4"/>
        <v>61.204999999999998</v>
      </c>
      <c r="P12" s="8">
        <f t="shared" si="5"/>
        <v>15.30125</v>
      </c>
      <c r="Q12" s="8">
        <f t="shared" si="6"/>
        <v>76.506249999999994</v>
      </c>
      <c r="R12" s="8">
        <f t="shared" si="7"/>
        <v>91.807500000000005</v>
      </c>
      <c r="S12" s="8">
        <f t="shared" si="8"/>
        <v>107.10875</v>
      </c>
      <c r="T12" s="8">
        <f t="shared" si="9"/>
        <v>122.41</v>
      </c>
      <c r="U12" s="8">
        <f t="shared" si="10"/>
        <v>137.71125000000001</v>
      </c>
      <c r="V12" s="8">
        <f t="shared" si="10"/>
        <v>34.427812500000002</v>
      </c>
      <c r="W12" s="8">
        <f t="shared" si="1"/>
        <v>38.253124999999997</v>
      </c>
      <c r="X12" s="8">
        <f t="shared" si="11"/>
        <v>42.0784375</v>
      </c>
      <c r="Y12" s="8">
        <f t="shared" si="12"/>
        <v>45.903750000000002</v>
      </c>
      <c r="Z12" s="6">
        <v>122.41</v>
      </c>
      <c r="AA12" s="6">
        <v>34.43</v>
      </c>
      <c r="AB12" s="8"/>
    </row>
    <row r="13" spans="1:28" x14ac:dyDescent="0.25">
      <c r="A13" s="4" t="s">
        <v>156</v>
      </c>
      <c r="B13" s="4" t="s">
        <v>153</v>
      </c>
      <c r="C13" s="4">
        <v>25</v>
      </c>
      <c r="D13" s="4">
        <v>30</v>
      </c>
      <c r="E13" s="4">
        <v>11</v>
      </c>
      <c r="F13" t="s">
        <v>157</v>
      </c>
      <c r="G13" s="4" t="s">
        <v>158</v>
      </c>
      <c r="H13" s="4">
        <v>4</v>
      </c>
      <c r="I13" s="4">
        <v>5.2999999999999999E-2</v>
      </c>
      <c r="J13" s="20">
        <v>30</v>
      </c>
      <c r="K13" s="21">
        <f t="shared" si="2"/>
        <v>120</v>
      </c>
      <c r="L13" s="8">
        <v>38.659999999999997</v>
      </c>
      <c r="M13" s="8">
        <f t="shared" si="13"/>
        <v>38.659999999999997</v>
      </c>
      <c r="N13" s="8">
        <f t="shared" si="3"/>
        <v>22.524999999999999</v>
      </c>
      <c r="O13" s="8">
        <f t="shared" si="4"/>
        <v>61.184999999999995</v>
      </c>
      <c r="P13" s="8">
        <f t="shared" si="5"/>
        <v>15.296249999999999</v>
      </c>
      <c r="Q13" s="8">
        <f t="shared" si="6"/>
        <v>76.481249999999989</v>
      </c>
      <c r="R13" s="8">
        <f t="shared" si="7"/>
        <v>91.777499999999989</v>
      </c>
      <c r="S13" s="8">
        <f t="shared" si="8"/>
        <v>107.07374999999999</v>
      </c>
      <c r="T13" s="8">
        <f t="shared" si="9"/>
        <v>122.36999999999999</v>
      </c>
      <c r="U13" s="8">
        <f t="shared" si="10"/>
        <v>137.66624999999999</v>
      </c>
      <c r="V13" s="8">
        <f t="shared" si="10"/>
        <v>34.416562499999998</v>
      </c>
      <c r="W13" s="8">
        <f t="shared" si="1"/>
        <v>38.240624999999994</v>
      </c>
      <c r="X13" s="8">
        <f t="shared" si="11"/>
        <v>42.064687499999998</v>
      </c>
      <c r="Y13" s="8">
        <f t="shared" si="12"/>
        <v>45.888749999999995</v>
      </c>
      <c r="Z13" s="6">
        <v>122.41</v>
      </c>
      <c r="AA13" s="6">
        <v>34.43</v>
      </c>
      <c r="AB13" s="8"/>
    </row>
    <row r="14" spans="1:28" ht="15" customHeight="1" x14ac:dyDescent="0.25">
      <c r="A14" s="4" t="s">
        <v>159</v>
      </c>
      <c r="B14" s="4" t="s">
        <v>160</v>
      </c>
      <c r="C14" s="4">
        <v>25</v>
      </c>
      <c r="D14" s="4">
        <v>36</v>
      </c>
      <c r="E14" s="4">
        <v>12</v>
      </c>
      <c r="F14" s="4" t="s">
        <v>161</v>
      </c>
      <c r="G14" s="4" t="s">
        <v>162</v>
      </c>
      <c r="H14" s="4">
        <v>4</v>
      </c>
      <c r="I14" s="4">
        <v>4.1000000000000002E-2</v>
      </c>
      <c r="J14" s="20">
        <v>30</v>
      </c>
      <c r="K14" s="21">
        <f t="shared" si="2"/>
        <v>120</v>
      </c>
      <c r="L14" s="8">
        <v>57.11</v>
      </c>
      <c r="M14" s="8">
        <f t="shared" si="13"/>
        <v>57.11</v>
      </c>
      <c r="N14" s="8">
        <f t="shared" si="3"/>
        <v>17.425000000000001</v>
      </c>
      <c r="O14" s="8">
        <f t="shared" si="4"/>
        <v>74.534999999999997</v>
      </c>
      <c r="P14" s="8">
        <f t="shared" si="5"/>
        <v>18.633749999999999</v>
      </c>
      <c r="Q14" s="8">
        <f t="shared" si="6"/>
        <v>93.168749999999989</v>
      </c>
      <c r="R14" s="8">
        <f t="shared" si="7"/>
        <v>111.80249999999999</v>
      </c>
      <c r="S14" s="8">
        <f t="shared" si="8"/>
        <v>130.43625</v>
      </c>
      <c r="T14" s="8">
        <f t="shared" si="9"/>
        <v>149.07</v>
      </c>
      <c r="U14" s="8">
        <f t="shared" si="10"/>
        <v>167.70374999999999</v>
      </c>
      <c r="V14" s="8">
        <f t="shared" si="10"/>
        <v>41.925937499999996</v>
      </c>
      <c r="W14" s="8">
        <f t="shared" si="1"/>
        <v>46.584374999999994</v>
      </c>
      <c r="X14" s="8">
        <f t="shared" si="11"/>
        <v>51.242812499999999</v>
      </c>
      <c r="Y14" s="8">
        <f t="shared" si="12"/>
        <v>55.901249999999997</v>
      </c>
      <c r="Z14" s="6">
        <v>149.07</v>
      </c>
      <c r="AA14" s="6">
        <v>41.93</v>
      </c>
      <c r="AB14" s="5"/>
    </row>
    <row r="15" spans="1:28" ht="20.100000000000001" customHeight="1" x14ac:dyDescent="0.25">
      <c r="A15" s="22" t="s">
        <v>163</v>
      </c>
      <c r="B15" s="22" t="s">
        <v>164</v>
      </c>
      <c r="C15" s="22">
        <v>25</v>
      </c>
      <c r="D15" s="22">
        <v>49</v>
      </c>
      <c r="E15" s="22">
        <v>15</v>
      </c>
      <c r="F15" s="22" t="s">
        <v>165</v>
      </c>
      <c r="G15" s="23" t="s">
        <v>166</v>
      </c>
      <c r="H15" s="22">
        <v>4</v>
      </c>
      <c r="I15" s="22">
        <v>0.04</v>
      </c>
      <c r="J15" s="41">
        <v>30</v>
      </c>
      <c r="K15" s="24">
        <f t="shared" si="2"/>
        <v>120</v>
      </c>
      <c r="L15" s="25">
        <v>49.13</v>
      </c>
      <c r="M15" s="25">
        <v>49.13</v>
      </c>
      <c r="N15" s="25">
        <f t="shared" si="3"/>
        <v>17</v>
      </c>
      <c r="O15" s="25">
        <f t="shared" si="4"/>
        <v>66.13</v>
      </c>
      <c r="P15" s="25">
        <f t="shared" si="5"/>
        <v>16.532499999999999</v>
      </c>
      <c r="Q15" s="25">
        <f t="shared" si="6"/>
        <v>82.662499999999994</v>
      </c>
      <c r="R15" s="25">
        <f t="shared" si="7"/>
        <v>99.194999999999993</v>
      </c>
      <c r="S15" s="25">
        <f t="shared" si="8"/>
        <v>115.72749999999999</v>
      </c>
      <c r="T15" s="25">
        <f t="shared" si="9"/>
        <v>132.26</v>
      </c>
      <c r="U15" s="25">
        <f t="shared" si="10"/>
        <v>148.79249999999999</v>
      </c>
      <c r="V15" s="25">
        <f t="shared" si="10"/>
        <v>37.198124999999997</v>
      </c>
      <c r="W15" s="25">
        <f t="shared" si="1"/>
        <v>41.331249999999997</v>
      </c>
      <c r="X15" s="25">
        <f t="shared" si="11"/>
        <v>45.464374999999997</v>
      </c>
      <c r="Y15" s="25">
        <f t="shared" si="12"/>
        <v>49.597499999999997</v>
      </c>
      <c r="Z15" s="26">
        <v>132.26</v>
      </c>
      <c r="AA15" s="26">
        <v>37.200000000000003</v>
      </c>
      <c r="AB15" s="25"/>
    </row>
    <row r="16" spans="1:28" ht="20.100000000000001" customHeight="1" x14ac:dyDescent="0.25">
      <c r="A16" s="22" t="s">
        <v>167</v>
      </c>
      <c r="B16" s="22" t="s">
        <v>164</v>
      </c>
      <c r="C16" s="22">
        <v>25</v>
      </c>
      <c r="D16" s="22">
        <v>49</v>
      </c>
      <c r="E16" s="22">
        <v>15</v>
      </c>
      <c r="F16" s="22" t="s">
        <v>168</v>
      </c>
      <c r="G16" s="23" t="s">
        <v>169</v>
      </c>
      <c r="H16" s="22">
        <v>4</v>
      </c>
      <c r="I16" s="22">
        <v>0.04</v>
      </c>
      <c r="J16" s="41">
        <v>30</v>
      </c>
      <c r="K16" s="24">
        <f t="shared" si="2"/>
        <v>120</v>
      </c>
      <c r="L16" s="25">
        <v>49.52</v>
      </c>
      <c r="M16" s="25">
        <v>49.42</v>
      </c>
      <c r="N16" s="25">
        <f t="shared" si="3"/>
        <v>17</v>
      </c>
      <c r="O16" s="25">
        <f t="shared" si="4"/>
        <v>66.42</v>
      </c>
      <c r="P16" s="25">
        <f t="shared" si="5"/>
        <v>16.605</v>
      </c>
      <c r="Q16" s="25">
        <f t="shared" si="6"/>
        <v>83.025000000000006</v>
      </c>
      <c r="R16" s="25">
        <f t="shared" si="7"/>
        <v>99.63</v>
      </c>
      <c r="S16" s="25">
        <f t="shared" si="8"/>
        <v>116.235</v>
      </c>
      <c r="T16" s="25">
        <f t="shared" si="9"/>
        <v>132.84</v>
      </c>
      <c r="U16" s="25">
        <f t="shared" si="10"/>
        <v>149.44499999999999</v>
      </c>
      <c r="V16" s="25">
        <f t="shared" si="10"/>
        <v>37.361249999999998</v>
      </c>
      <c r="W16" s="25">
        <f t="shared" si="1"/>
        <v>41.512500000000003</v>
      </c>
      <c r="X16" s="25">
        <f t="shared" si="11"/>
        <v>45.66375</v>
      </c>
      <c r="Y16" s="25">
        <f t="shared" si="12"/>
        <v>49.814999999999998</v>
      </c>
      <c r="Z16" s="26">
        <v>132.26</v>
      </c>
      <c r="AA16" s="26">
        <v>37.200000000000003</v>
      </c>
      <c r="AB16" s="25"/>
    </row>
    <row r="17" spans="1:28" x14ac:dyDescent="0.25">
      <c r="A17" s="4" t="s">
        <v>170</v>
      </c>
      <c r="B17" s="4" t="s">
        <v>171</v>
      </c>
      <c r="C17" s="4">
        <v>25</v>
      </c>
      <c r="D17" s="4">
        <v>81</v>
      </c>
      <c r="E17" s="4">
        <v>20</v>
      </c>
      <c r="F17" s="4" t="s">
        <v>172</v>
      </c>
      <c r="G17" s="4" t="s">
        <v>173</v>
      </c>
      <c r="H17" s="4">
        <v>1</v>
      </c>
      <c r="I17" s="4">
        <v>2.9000000000000001E-2</v>
      </c>
      <c r="J17" s="20">
        <v>30</v>
      </c>
      <c r="K17" s="21">
        <f t="shared" si="2"/>
        <v>30</v>
      </c>
      <c r="L17" s="8">
        <v>22.15</v>
      </c>
      <c r="M17" s="8">
        <v>22.15</v>
      </c>
      <c r="N17" s="8">
        <f t="shared" si="3"/>
        <v>12.325000000000001</v>
      </c>
      <c r="O17" s="8">
        <f t="shared" si="4"/>
        <v>34.475000000000001</v>
      </c>
      <c r="P17" s="8">
        <f t="shared" si="5"/>
        <v>34.475000000000001</v>
      </c>
      <c r="Q17" s="8">
        <f t="shared" si="6"/>
        <v>43.09375</v>
      </c>
      <c r="R17" s="8">
        <f t="shared" si="7"/>
        <v>51.712500000000006</v>
      </c>
      <c r="S17" s="8">
        <f t="shared" si="8"/>
        <v>60.331250000000004</v>
      </c>
      <c r="T17" s="8">
        <f t="shared" si="9"/>
        <v>68.95</v>
      </c>
      <c r="U17" s="8">
        <f t="shared" si="10"/>
        <v>77.568750000000009</v>
      </c>
      <c r="V17" s="8">
        <f t="shared" si="10"/>
        <v>77.568750000000009</v>
      </c>
      <c r="W17" s="8">
        <f t="shared" si="1"/>
        <v>86.1875</v>
      </c>
      <c r="X17" s="8">
        <f t="shared" si="11"/>
        <v>94.806250000000006</v>
      </c>
      <c r="Y17" s="8">
        <f t="shared" si="12"/>
        <v>103.42500000000001</v>
      </c>
      <c r="Z17" s="6">
        <v>69.8</v>
      </c>
      <c r="AA17" s="6"/>
      <c r="AB17" s="5"/>
    </row>
    <row r="18" spans="1:28" x14ac:dyDescent="0.25">
      <c r="A18" s="4" t="s">
        <v>174</v>
      </c>
      <c r="B18" s="4" t="s">
        <v>175</v>
      </c>
      <c r="C18" s="4">
        <v>25</v>
      </c>
      <c r="D18" s="4">
        <v>81</v>
      </c>
      <c r="E18" s="4">
        <v>25</v>
      </c>
      <c r="F18" s="4" t="s">
        <v>176</v>
      </c>
      <c r="G18" s="4" t="s">
        <v>177</v>
      </c>
      <c r="H18" s="4">
        <v>1</v>
      </c>
      <c r="I18" s="4">
        <v>0.03</v>
      </c>
      <c r="J18" s="20">
        <v>30</v>
      </c>
      <c r="K18" s="21">
        <f t="shared" si="2"/>
        <v>30</v>
      </c>
      <c r="L18" s="8">
        <v>22.15</v>
      </c>
      <c r="M18" s="8">
        <f t="shared" si="13"/>
        <v>22.15</v>
      </c>
      <c r="N18" s="8">
        <f t="shared" si="3"/>
        <v>12.75</v>
      </c>
      <c r="O18" s="8">
        <f t="shared" si="4"/>
        <v>34.9</v>
      </c>
      <c r="P18" s="8">
        <f t="shared" si="5"/>
        <v>34.9</v>
      </c>
      <c r="Q18" s="8">
        <f t="shared" si="6"/>
        <v>43.625</v>
      </c>
      <c r="R18" s="8">
        <f t="shared" si="7"/>
        <v>52.349999999999994</v>
      </c>
      <c r="S18" s="8">
        <f t="shared" si="8"/>
        <v>61.074999999999996</v>
      </c>
      <c r="T18" s="8">
        <f t="shared" si="9"/>
        <v>69.8</v>
      </c>
      <c r="U18" s="8">
        <f t="shared" si="10"/>
        <v>78.524999999999991</v>
      </c>
      <c r="V18" s="8">
        <f t="shared" si="10"/>
        <v>78.524999999999991</v>
      </c>
      <c r="W18" s="8">
        <f t="shared" si="1"/>
        <v>87.25</v>
      </c>
      <c r="X18" s="8">
        <f t="shared" si="11"/>
        <v>95.974999999999994</v>
      </c>
      <c r="Y18" s="8">
        <f t="shared" si="12"/>
        <v>104.69999999999999</v>
      </c>
      <c r="Z18" s="6">
        <v>69.8</v>
      </c>
      <c r="AA18" s="6"/>
      <c r="AB18" s="8"/>
    </row>
    <row r="19" spans="1:28" ht="20.100000000000001" customHeight="1" x14ac:dyDescent="0.25">
      <c r="A19" s="22" t="s">
        <v>178</v>
      </c>
      <c r="B19" s="22" t="s">
        <v>175</v>
      </c>
      <c r="C19" s="22">
        <v>25</v>
      </c>
      <c r="D19" s="22">
        <v>81</v>
      </c>
      <c r="E19" s="22">
        <v>25</v>
      </c>
      <c r="F19" s="22" t="s">
        <v>179</v>
      </c>
      <c r="G19" s="23" t="s">
        <v>180</v>
      </c>
      <c r="H19" s="22">
        <v>1</v>
      </c>
      <c r="I19" s="22">
        <v>2.7E-2</v>
      </c>
      <c r="J19" s="41">
        <v>30</v>
      </c>
      <c r="K19" s="24">
        <f t="shared" si="2"/>
        <v>30</v>
      </c>
      <c r="L19" s="25">
        <v>22.82</v>
      </c>
      <c r="M19" s="25">
        <f t="shared" si="13"/>
        <v>22.82</v>
      </c>
      <c r="N19" s="25">
        <f t="shared" si="3"/>
        <v>11.475</v>
      </c>
      <c r="O19" s="25">
        <f t="shared" si="4"/>
        <v>34.295000000000002</v>
      </c>
      <c r="P19" s="25">
        <f t="shared" si="5"/>
        <v>34.295000000000002</v>
      </c>
      <c r="Q19" s="25">
        <f t="shared" si="6"/>
        <v>42.868750000000006</v>
      </c>
      <c r="R19" s="25">
        <f t="shared" si="7"/>
        <v>51.442500000000003</v>
      </c>
      <c r="S19" s="25">
        <f t="shared" si="8"/>
        <v>60.016249999999999</v>
      </c>
      <c r="T19" s="25">
        <f t="shared" si="9"/>
        <v>68.59</v>
      </c>
      <c r="U19" s="25">
        <f t="shared" si="10"/>
        <v>77.163750000000007</v>
      </c>
      <c r="V19" s="25">
        <f t="shared" si="10"/>
        <v>77.163750000000007</v>
      </c>
      <c r="W19" s="25">
        <f t="shared" si="1"/>
        <v>85.737500000000011</v>
      </c>
      <c r="X19" s="25">
        <f t="shared" si="11"/>
        <v>94.311250000000001</v>
      </c>
      <c r="Y19" s="25">
        <f t="shared" si="12"/>
        <v>102.88500000000001</v>
      </c>
      <c r="Z19" s="26">
        <v>69.8</v>
      </c>
      <c r="AA19" s="26"/>
      <c r="AB19" s="25"/>
    </row>
    <row r="20" spans="1:28" ht="30" customHeight="1" x14ac:dyDescent="0.25">
      <c r="A20" s="22" t="s">
        <v>181</v>
      </c>
      <c r="B20" s="22" t="s">
        <v>182</v>
      </c>
      <c r="C20" s="22">
        <v>25</v>
      </c>
      <c r="D20" s="22">
        <v>81</v>
      </c>
      <c r="E20" s="22">
        <v>8</v>
      </c>
      <c r="F20" s="22"/>
      <c r="G20" s="23" t="s">
        <v>183</v>
      </c>
      <c r="H20" s="22">
        <v>1</v>
      </c>
      <c r="I20" s="22">
        <v>2.9000000000000001E-2</v>
      </c>
      <c r="J20" s="41">
        <v>30</v>
      </c>
      <c r="K20" s="24">
        <f t="shared" si="2"/>
        <v>30</v>
      </c>
      <c r="L20" s="25">
        <v>24.63</v>
      </c>
      <c r="M20" s="25">
        <v>24.63</v>
      </c>
      <c r="N20" s="25">
        <f t="shared" si="3"/>
        <v>12.325000000000001</v>
      </c>
      <c r="O20" s="25">
        <f t="shared" si="4"/>
        <v>36.954999999999998</v>
      </c>
      <c r="P20" s="25">
        <f t="shared" si="5"/>
        <v>36.954999999999998</v>
      </c>
      <c r="Q20" s="25">
        <f t="shared" si="6"/>
        <v>46.193749999999994</v>
      </c>
      <c r="R20" s="25">
        <f t="shared" si="7"/>
        <v>55.432499999999997</v>
      </c>
      <c r="S20" s="25">
        <f t="shared" si="8"/>
        <v>64.671250000000001</v>
      </c>
      <c r="T20" s="25">
        <f t="shared" si="9"/>
        <v>73.91</v>
      </c>
      <c r="U20" s="25">
        <f t="shared" si="10"/>
        <v>83.148749999999993</v>
      </c>
      <c r="V20" s="25">
        <f t="shared" si="10"/>
        <v>83.148749999999993</v>
      </c>
      <c r="W20" s="25">
        <f t="shared" si="1"/>
        <v>92.387499999999989</v>
      </c>
      <c r="X20" s="25">
        <f t="shared" si="11"/>
        <v>101.62625</v>
      </c>
      <c r="Y20" s="25">
        <f t="shared" si="12"/>
        <v>110.86499999999999</v>
      </c>
      <c r="Z20" s="26">
        <v>69.8</v>
      </c>
      <c r="AA20" s="26"/>
      <c r="AB20" s="25"/>
    </row>
    <row r="21" spans="1:28" x14ac:dyDescent="0.25">
      <c r="A21" s="4" t="s">
        <v>184</v>
      </c>
      <c r="B21" s="4" t="s">
        <v>185</v>
      </c>
      <c r="C21" s="4">
        <v>30</v>
      </c>
      <c r="D21" s="4">
        <v>49</v>
      </c>
      <c r="E21" s="4">
        <v>25</v>
      </c>
      <c r="F21" s="4" t="s">
        <v>186</v>
      </c>
      <c r="G21" s="4" t="s">
        <v>187</v>
      </c>
      <c r="H21" s="4">
        <v>2</v>
      </c>
      <c r="I21" s="4">
        <v>0.06</v>
      </c>
      <c r="J21" s="20">
        <v>30</v>
      </c>
      <c r="K21" s="21">
        <f t="shared" si="2"/>
        <v>60</v>
      </c>
      <c r="L21" s="8">
        <v>41.23</v>
      </c>
      <c r="M21" s="8">
        <f t="shared" si="13"/>
        <v>41.23</v>
      </c>
      <c r="N21" s="8">
        <f t="shared" si="3"/>
        <v>25.5</v>
      </c>
      <c r="O21" s="8">
        <f t="shared" si="4"/>
        <v>66.72999999999999</v>
      </c>
      <c r="P21" s="8">
        <f t="shared" si="5"/>
        <v>33.364999999999995</v>
      </c>
      <c r="Q21" s="8">
        <f t="shared" si="6"/>
        <v>83.412499999999994</v>
      </c>
      <c r="R21" s="8">
        <f t="shared" si="7"/>
        <v>100.09499999999998</v>
      </c>
      <c r="S21" s="8">
        <f t="shared" si="8"/>
        <v>116.77749999999997</v>
      </c>
      <c r="T21" s="8">
        <f t="shared" si="9"/>
        <v>133.45999999999998</v>
      </c>
      <c r="U21" s="8">
        <f t="shared" si="10"/>
        <v>150.14249999999998</v>
      </c>
      <c r="V21" s="8">
        <f t="shared" si="10"/>
        <v>75.071249999999992</v>
      </c>
      <c r="W21" s="8">
        <f t="shared" si="1"/>
        <v>83.412499999999994</v>
      </c>
      <c r="X21" s="8">
        <f t="shared" si="11"/>
        <v>91.753749999999982</v>
      </c>
      <c r="Y21" s="8">
        <f t="shared" si="12"/>
        <v>100.09499999999998</v>
      </c>
      <c r="Z21" s="6">
        <v>137.59</v>
      </c>
      <c r="AA21" s="6">
        <v>77.394374999999997</v>
      </c>
      <c r="AB21" s="8"/>
    </row>
    <row r="22" spans="1:28" x14ac:dyDescent="0.25">
      <c r="A22" s="4" t="s">
        <v>188</v>
      </c>
      <c r="B22" s="4" t="s">
        <v>189</v>
      </c>
      <c r="C22" s="4">
        <v>30</v>
      </c>
      <c r="D22" s="4">
        <v>49</v>
      </c>
      <c r="E22" s="4">
        <v>16</v>
      </c>
      <c r="F22" s="4" t="s">
        <v>190</v>
      </c>
      <c r="G22" s="4" t="s">
        <v>191</v>
      </c>
      <c r="H22" s="4">
        <v>2</v>
      </c>
      <c r="I22" s="4">
        <v>5.8999999999999997E-2</v>
      </c>
      <c r="J22" s="20">
        <v>30</v>
      </c>
      <c r="K22" s="21">
        <f t="shared" si="2"/>
        <v>60</v>
      </c>
      <c r="L22" s="8">
        <v>43.72</v>
      </c>
      <c r="M22" s="8">
        <v>43.72</v>
      </c>
      <c r="N22" s="8">
        <f t="shared" si="3"/>
        <v>25.074999999999999</v>
      </c>
      <c r="O22" s="8">
        <f t="shared" si="4"/>
        <v>68.795000000000002</v>
      </c>
      <c r="P22" s="8">
        <f t="shared" si="5"/>
        <v>34.397500000000001</v>
      </c>
      <c r="Q22" s="8">
        <f t="shared" si="6"/>
        <v>85.993750000000006</v>
      </c>
      <c r="R22" s="8">
        <f t="shared" si="7"/>
        <v>103.1925</v>
      </c>
      <c r="S22" s="8">
        <f t="shared" si="8"/>
        <v>120.39125</v>
      </c>
      <c r="T22" s="8">
        <f t="shared" si="9"/>
        <v>137.59</v>
      </c>
      <c r="U22" s="8">
        <f t="shared" si="10"/>
        <v>154.78874999999999</v>
      </c>
      <c r="V22" s="8">
        <f t="shared" si="10"/>
        <v>77.394374999999997</v>
      </c>
      <c r="W22" s="8">
        <f t="shared" si="1"/>
        <v>85.993750000000006</v>
      </c>
      <c r="X22" s="8">
        <f t="shared" si="11"/>
        <v>94.593125000000001</v>
      </c>
      <c r="Y22" s="8">
        <f t="shared" si="12"/>
        <v>103.1925</v>
      </c>
      <c r="Z22" s="6">
        <v>137.59</v>
      </c>
      <c r="AA22" s="6">
        <v>77.394374999999997</v>
      </c>
      <c r="AB22" s="8"/>
    </row>
    <row r="23" spans="1:28" x14ac:dyDescent="0.25">
      <c r="A23" s="4" t="s">
        <v>192</v>
      </c>
      <c r="B23" s="22" t="s">
        <v>164</v>
      </c>
      <c r="C23" s="4">
        <v>30</v>
      </c>
      <c r="D23" s="4">
        <v>4</v>
      </c>
      <c r="E23" s="4">
        <v>20</v>
      </c>
      <c r="F23" s="22" t="s">
        <v>193</v>
      </c>
      <c r="G23" s="4" t="s">
        <v>194</v>
      </c>
      <c r="H23" s="4">
        <v>2</v>
      </c>
      <c r="I23" s="4">
        <v>3.5000000000000003E-2</v>
      </c>
      <c r="J23" s="20">
        <v>30</v>
      </c>
      <c r="K23" s="21">
        <f t="shared" si="2"/>
        <v>60</v>
      </c>
      <c r="L23" s="8">
        <v>39.130000000000003</v>
      </c>
      <c r="M23" s="8">
        <v>39.130000000000003</v>
      </c>
      <c r="N23" s="8">
        <f t="shared" si="3"/>
        <v>14.875000000000002</v>
      </c>
      <c r="O23" s="8">
        <f t="shared" si="4"/>
        <v>54.005000000000003</v>
      </c>
      <c r="P23" s="8">
        <f t="shared" si="5"/>
        <v>27.002500000000001</v>
      </c>
      <c r="Q23" s="8">
        <f t="shared" si="6"/>
        <v>67.506250000000009</v>
      </c>
      <c r="R23" s="8">
        <f t="shared" si="7"/>
        <v>81.007500000000007</v>
      </c>
      <c r="S23" s="8">
        <f t="shared" si="8"/>
        <v>94.508750000000006</v>
      </c>
      <c r="T23" s="8">
        <f t="shared" si="9"/>
        <v>108.01</v>
      </c>
      <c r="U23" s="8">
        <f t="shared" si="10"/>
        <v>121.51125</v>
      </c>
      <c r="V23" s="8">
        <f t="shared" si="10"/>
        <v>60.755625000000002</v>
      </c>
      <c r="W23" s="8">
        <f t="shared" si="1"/>
        <v>67.506250000000009</v>
      </c>
      <c r="X23" s="8">
        <f t="shared" si="11"/>
        <v>74.256875000000008</v>
      </c>
      <c r="Y23" s="8">
        <f t="shared" si="12"/>
        <v>81.007500000000007</v>
      </c>
      <c r="Z23" s="6">
        <v>108.01</v>
      </c>
      <c r="AA23" s="6">
        <v>60.755625000000002</v>
      </c>
      <c r="AB23" s="8"/>
    </row>
    <row r="24" spans="1:28" ht="30" customHeight="1" x14ac:dyDescent="0.25">
      <c r="A24" s="22" t="s">
        <v>195</v>
      </c>
      <c r="B24" s="22" t="s">
        <v>164</v>
      </c>
      <c r="C24" s="22">
        <v>30</v>
      </c>
      <c r="D24" s="22">
        <v>49</v>
      </c>
      <c r="E24" s="22">
        <v>25</v>
      </c>
      <c r="F24" s="22" t="s">
        <v>196</v>
      </c>
      <c r="G24" s="23" t="s">
        <v>197</v>
      </c>
      <c r="H24" s="22">
        <v>2</v>
      </c>
      <c r="I24" s="22">
        <v>3.5000000000000003E-2</v>
      </c>
      <c r="J24" s="41">
        <v>30</v>
      </c>
      <c r="K24" s="24">
        <f t="shared" si="2"/>
        <v>60</v>
      </c>
      <c r="L24" s="25">
        <v>39.130000000000003</v>
      </c>
      <c r="M24" s="25">
        <f t="shared" si="13"/>
        <v>39.130000000000003</v>
      </c>
      <c r="N24" s="25">
        <f t="shared" si="3"/>
        <v>14.875000000000002</v>
      </c>
      <c r="O24" s="25">
        <f t="shared" si="4"/>
        <v>54.005000000000003</v>
      </c>
      <c r="P24" s="25">
        <f t="shared" si="5"/>
        <v>27.002500000000001</v>
      </c>
      <c r="Q24" s="25">
        <f t="shared" si="6"/>
        <v>67.506250000000009</v>
      </c>
      <c r="R24" s="25">
        <f t="shared" si="7"/>
        <v>81.007500000000007</v>
      </c>
      <c r="S24" s="25">
        <f t="shared" si="8"/>
        <v>94.508750000000006</v>
      </c>
      <c r="T24" s="25">
        <f t="shared" si="9"/>
        <v>108.01</v>
      </c>
      <c r="U24" s="25">
        <f t="shared" si="10"/>
        <v>121.51125</v>
      </c>
      <c r="V24" s="25">
        <f t="shared" si="10"/>
        <v>60.755625000000002</v>
      </c>
      <c r="W24" s="25">
        <f t="shared" si="1"/>
        <v>67.506250000000009</v>
      </c>
      <c r="X24" s="25">
        <f t="shared" si="11"/>
        <v>74.256875000000008</v>
      </c>
      <c r="Y24" s="25">
        <f t="shared" si="12"/>
        <v>81.007500000000007</v>
      </c>
      <c r="Z24" s="26">
        <v>108.01</v>
      </c>
      <c r="AA24" s="26">
        <v>60.755625000000002</v>
      </c>
      <c r="AB24" s="25"/>
    </row>
    <row r="25" spans="1:28" ht="20.100000000000001" customHeight="1" x14ac:dyDescent="0.25">
      <c r="A25" s="22" t="s">
        <v>198</v>
      </c>
      <c r="B25" s="22" t="s">
        <v>164</v>
      </c>
      <c r="C25" s="22">
        <v>30</v>
      </c>
      <c r="D25" s="22">
        <v>449</v>
      </c>
      <c r="E25" s="22">
        <v>25</v>
      </c>
      <c r="F25" s="22" t="s">
        <v>199</v>
      </c>
      <c r="G25" s="23" t="s">
        <v>200</v>
      </c>
      <c r="H25" s="22">
        <v>2</v>
      </c>
      <c r="I25" s="22">
        <v>3.5000000000000003E-2</v>
      </c>
      <c r="J25" s="41">
        <v>30</v>
      </c>
      <c r="K25" s="24">
        <f t="shared" si="2"/>
        <v>60</v>
      </c>
      <c r="L25" s="25">
        <v>37.880000000000003</v>
      </c>
      <c r="M25" s="25">
        <v>37.880000000000003</v>
      </c>
      <c r="N25" s="25">
        <f t="shared" si="3"/>
        <v>14.875000000000002</v>
      </c>
      <c r="O25" s="25">
        <f t="shared" si="4"/>
        <v>52.755000000000003</v>
      </c>
      <c r="P25" s="25">
        <f t="shared" si="5"/>
        <v>26.377500000000001</v>
      </c>
      <c r="Q25" s="25">
        <f t="shared" si="6"/>
        <v>65.943750000000009</v>
      </c>
      <c r="R25" s="25">
        <f t="shared" si="7"/>
        <v>79.132500000000007</v>
      </c>
      <c r="S25" s="25">
        <f t="shared" si="8"/>
        <v>92.321250000000006</v>
      </c>
      <c r="T25" s="25">
        <f t="shared" si="9"/>
        <v>105.51</v>
      </c>
      <c r="U25" s="25">
        <f t="shared" si="10"/>
        <v>118.69875</v>
      </c>
      <c r="V25" s="25">
        <f t="shared" si="10"/>
        <v>59.349375000000002</v>
      </c>
      <c r="W25" s="25">
        <f t="shared" si="1"/>
        <v>65.943750000000009</v>
      </c>
      <c r="X25" s="25">
        <f t="shared" si="11"/>
        <v>72.538125000000008</v>
      </c>
      <c r="Y25" s="25">
        <f t="shared" si="12"/>
        <v>79.132500000000007</v>
      </c>
      <c r="Z25" s="26">
        <v>108.01</v>
      </c>
      <c r="AA25" s="26">
        <v>60.76</v>
      </c>
      <c r="AB25" s="25"/>
    </row>
    <row r="26" spans="1:28" x14ac:dyDescent="0.25">
      <c r="A26" s="4" t="s">
        <v>201</v>
      </c>
      <c r="B26" s="22" t="s">
        <v>164</v>
      </c>
      <c r="C26" s="4">
        <v>30</v>
      </c>
      <c r="D26" s="4">
        <v>49</v>
      </c>
      <c r="E26" s="4">
        <v>25</v>
      </c>
      <c r="F26" s="4" t="s">
        <v>202</v>
      </c>
      <c r="G26" s="4" t="s">
        <v>203</v>
      </c>
      <c r="H26" s="4">
        <v>2</v>
      </c>
      <c r="I26" s="4">
        <v>3.5000000000000003E-2</v>
      </c>
      <c r="J26" s="20">
        <v>30</v>
      </c>
      <c r="K26" s="21">
        <f t="shared" si="2"/>
        <v>60</v>
      </c>
      <c r="L26" s="8">
        <v>38.08</v>
      </c>
      <c r="M26" s="8">
        <f t="shared" si="13"/>
        <v>38.08</v>
      </c>
      <c r="N26" s="8">
        <f t="shared" si="3"/>
        <v>14.875000000000002</v>
      </c>
      <c r="O26" s="8">
        <f t="shared" si="4"/>
        <v>52.954999999999998</v>
      </c>
      <c r="P26" s="8">
        <f t="shared" si="5"/>
        <v>26.477499999999999</v>
      </c>
      <c r="Q26" s="8">
        <f t="shared" si="6"/>
        <v>66.193749999999994</v>
      </c>
      <c r="R26" s="8">
        <f t="shared" si="7"/>
        <v>79.432500000000005</v>
      </c>
      <c r="S26" s="8">
        <f t="shared" si="8"/>
        <v>92.671250000000001</v>
      </c>
      <c r="T26" s="8">
        <f t="shared" si="9"/>
        <v>105.91</v>
      </c>
      <c r="U26" s="8">
        <f t="shared" si="10"/>
        <v>119.14874999999999</v>
      </c>
      <c r="V26" s="8">
        <f t="shared" si="10"/>
        <v>59.574374999999996</v>
      </c>
      <c r="W26" s="8">
        <f t="shared" si="1"/>
        <v>66.193749999999994</v>
      </c>
      <c r="X26" s="8">
        <f t="shared" si="11"/>
        <v>72.813124999999999</v>
      </c>
      <c r="Y26" s="8">
        <f t="shared" si="12"/>
        <v>79.432500000000005</v>
      </c>
      <c r="Z26" s="6">
        <v>108.01</v>
      </c>
      <c r="AA26" s="6">
        <v>60.755625000000002</v>
      </c>
      <c r="AB26" s="8"/>
    </row>
    <row r="27" spans="1:28" x14ac:dyDescent="0.25">
      <c r="A27" s="4" t="s">
        <v>204</v>
      </c>
      <c r="B27" s="22" t="s">
        <v>164</v>
      </c>
      <c r="C27" s="4">
        <v>30</v>
      </c>
      <c r="D27" s="4">
        <v>49</v>
      </c>
      <c r="E27" s="4">
        <v>25</v>
      </c>
      <c r="F27" s="4" t="s">
        <v>205</v>
      </c>
      <c r="G27" s="4" t="s">
        <v>206</v>
      </c>
      <c r="H27" s="4">
        <v>2</v>
      </c>
      <c r="I27" s="4">
        <v>3.5000000000000003E-2</v>
      </c>
      <c r="J27" s="20">
        <v>30</v>
      </c>
      <c r="K27" s="21">
        <f t="shared" si="2"/>
        <v>60</v>
      </c>
      <c r="L27" s="8">
        <v>37.81</v>
      </c>
      <c r="M27" s="8">
        <v>37.81</v>
      </c>
      <c r="N27" s="8">
        <f t="shared" si="3"/>
        <v>14.875000000000002</v>
      </c>
      <c r="O27" s="8">
        <f t="shared" si="4"/>
        <v>52.685000000000002</v>
      </c>
      <c r="P27" s="8">
        <f t="shared" si="5"/>
        <v>26.342500000000001</v>
      </c>
      <c r="Q27" s="8">
        <f t="shared" si="6"/>
        <v>65.856250000000003</v>
      </c>
      <c r="R27" s="8">
        <f t="shared" si="7"/>
        <v>79.027500000000003</v>
      </c>
      <c r="S27" s="8">
        <f t="shared" si="8"/>
        <v>92.198750000000004</v>
      </c>
      <c r="T27" s="8">
        <f t="shared" si="9"/>
        <v>105.37</v>
      </c>
      <c r="U27" s="8">
        <f t="shared" si="10"/>
        <v>118.54125000000001</v>
      </c>
      <c r="V27" s="8">
        <f t="shared" si="10"/>
        <v>59.270625000000003</v>
      </c>
      <c r="W27" s="8">
        <f t="shared" si="1"/>
        <v>65.856250000000003</v>
      </c>
      <c r="X27" s="8">
        <f t="shared" si="11"/>
        <v>72.44187500000001</v>
      </c>
      <c r="Y27" s="8">
        <f t="shared" si="12"/>
        <v>79.027500000000003</v>
      </c>
      <c r="Z27" s="6">
        <v>108.01</v>
      </c>
      <c r="AA27" s="6">
        <v>60.755625000000002</v>
      </c>
      <c r="AB27" s="8"/>
    </row>
    <row r="28" spans="1:28" x14ac:dyDescent="0.25">
      <c r="A28" s="4" t="s">
        <v>207</v>
      </c>
      <c r="B28" s="22" t="s">
        <v>164</v>
      </c>
      <c r="C28" s="4">
        <v>30</v>
      </c>
      <c r="D28" s="4">
        <v>19</v>
      </c>
      <c r="E28" s="4">
        <v>10</v>
      </c>
      <c r="F28" s="4" t="s">
        <v>208</v>
      </c>
      <c r="G28" s="4" t="s">
        <v>209</v>
      </c>
      <c r="H28" s="4">
        <v>2</v>
      </c>
      <c r="I28" s="4">
        <v>3.5000000000000003E-2</v>
      </c>
      <c r="J28" s="20">
        <v>30</v>
      </c>
      <c r="K28" s="21">
        <f t="shared" si="2"/>
        <v>60</v>
      </c>
      <c r="L28" s="8">
        <v>34.72</v>
      </c>
      <c r="M28" s="8">
        <v>34.72</v>
      </c>
      <c r="N28" s="8">
        <f t="shared" si="3"/>
        <v>14.875000000000002</v>
      </c>
      <c r="O28" s="8">
        <f t="shared" si="4"/>
        <v>49.594999999999999</v>
      </c>
      <c r="P28" s="8">
        <f t="shared" si="5"/>
        <v>24.797499999999999</v>
      </c>
      <c r="Q28" s="8">
        <f t="shared" si="6"/>
        <v>61.993749999999999</v>
      </c>
      <c r="R28" s="8">
        <f t="shared" si="7"/>
        <v>74.392499999999998</v>
      </c>
      <c r="S28" s="8">
        <f t="shared" si="8"/>
        <v>86.791249999999991</v>
      </c>
      <c r="T28" s="8">
        <f t="shared" si="9"/>
        <v>99.19</v>
      </c>
      <c r="U28" s="8">
        <f t="shared" si="10"/>
        <v>111.58875</v>
      </c>
      <c r="V28" s="8">
        <f t="shared" si="10"/>
        <v>55.794375000000002</v>
      </c>
      <c r="W28" s="8">
        <f t="shared" si="1"/>
        <v>61.993749999999999</v>
      </c>
      <c r="X28" s="8">
        <f t="shared" si="11"/>
        <v>68.193124999999995</v>
      </c>
      <c r="Y28" s="8">
        <f t="shared" si="12"/>
        <v>74.392499999999998</v>
      </c>
      <c r="Z28" s="6">
        <v>108.01</v>
      </c>
      <c r="AA28" s="6">
        <v>60.755625000000002</v>
      </c>
      <c r="AB28" s="8"/>
    </row>
    <row r="29" spans="1:28" x14ac:dyDescent="0.25">
      <c r="A29" s="4" t="s">
        <v>210</v>
      </c>
      <c r="B29" s="22" t="s">
        <v>211</v>
      </c>
      <c r="C29" s="4">
        <v>50</v>
      </c>
      <c r="D29" s="4">
        <v>16</v>
      </c>
      <c r="E29" s="4">
        <v>40</v>
      </c>
      <c r="F29" s="4" t="s">
        <v>212</v>
      </c>
      <c r="G29" s="4" t="s">
        <v>213</v>
      </c>
      <c r="H29" s="4">
        <v>2</v>
      </c>
      <c r="I29" s="4">
        <v>3.6999999999999998E-2</v>
      </c>
      <c r="J29" s="20">
        <v>30</v>
      </c>
      <c r="K29" s="21">
        <f t="shared" si="2"/>
        <v>60</v>
      </c>
      <c r="L29" s="8">
        <v>45.25</v>
      </c>
      <c r="M29" s="8">
        <v>45.25</v>
      </c>
      <c r="N29" s="8">
        <f t="shared" si="3"/>
        <v>15.725</v>
      </c>
      <c r="O29" s="8">
        <f t="shared" si="4"/>
        <v>60.975000000000001</v>
      </c>
      <c r="P29" s="8">
        <f t="shared" si="5"/>
        <v>30.487500000000001</v>
      </c>
      <c r="Q29" s="8">
        <f t="shared" si="6"/>
        <v>76.21875</v>
      </c>
      <c r="R29" s="8">
        <f t="shared" si="7"/>
        <v>91.462500000000006</v>
      </c>
      <c r="S29" s="8">
        <f t="shared" si="8"/>
        <v>106.70625</v>
      </c>
      <c r="T29" s="8">
        <f t="shared" si="9"/>
        <v>121.95</v>
      </c>
      <c r="U29" s="8">
        <f t="shared" si="10"/>
        <v>137.19374999999999</v>
      </c>
      <c r="V29" s="8">
        <f t="shared" si="10"/>
        <v>68.596874999999997</v>
      </c>
      <c r="W29" s="8">
        <f t="shared" si="1"/>
        <v>76.21875</v>
      </c>
      <c r="X29" s="8">
        <f t="shared" si="11"/>
        <v>83.840625000000003</v>
      </c>
      <c r="Y29" s="8">
        <f t="shared" si="12"/>
        <v>91.462500000000006</v>
      </c>
      <c r="Z29" s="6">
        <v>125.33</v>
      </c>
      <c r="AA29" s="6">
        <v>70.498125000000002</v>
      </c>
      <c r="AB29" s="8"/>
    </row>
    <row r="30" spans="1:28" ht="30" customHeight="1" x14ac:dyDescent="0.25">
      <c r="A30" s="22" t="s">
        <v>214</v>
      </c>
      <c r="B30" s="22" t="s">
        <v>215</v>
      </c>
      <c r="C30" s="22">
        <v>30</v>
      </c>
      <c r="D30" s="22">
        <v>42</v>
      </c>
      <c r="E30" s="22">
        <v>20</v>
      </c>
      <c r="F30" s="22"/>
      <c r="G30" s="23" t="s">
        <v>216</v>
      </c>
      <c r="H30" s="22">
        <v>2</v>
      </c>
      <c r="I30" s="22">
        <v>5.2999999999999999E-2</v>
      </c>
      <c r="J30" s="41">
        <v>30</v>
      </c>
      <c r="K30" s="24">
        <f t="shared" si="2"/>
        <v>60</v>
      </c>
      <c r="L30" s="25">
        <v>40.14</v>
      </c>
      <c r="M30" s="25">
        <f t="shared" si="13"/>
        <v>40.14</v>
      </c>
      <c r="N30" s="25">
        <f t="shared" si="3"/>
        <v>22.524999999999999</v>
      </c>
      <c r="O30" s="25">
        <f t="shared" si="4"/>
        <v>62.664999999999999</v>
      </c>
      <c r="P30" s="25">
        <f t="shared" si="5"/>
        <v>31.3325</v>
      </c>
      <c r="Q30" s="25">
        <f t="shared" si="6"/>
        <v>78.331249999999997</v>
      </c>
      <c r="R30" s="25">
        <f t="shared" si="7"/>
        <v>93.997500000000002</v>
      </c>
      <c r="S30" s="25">
        <f t="shared" si="8"/>
        <v>109.66374999999999</v>
      </c>
      <c r="T30" s="25">
        <f t="shared" si="9"/>
        <v>125.33</v>
      </c>
      <c r="U30" s="25">
        <f t="shared" si="10"/>
        <v>140.99625</v>
      </c>
      <c r="V30" s="25">
        <f t="shared" si="10"/>
        <v>70.498125000000002</v>
      </c>
      <c r="W30" s="25">
        <f t="shared" si="1"/>
        <v>78.331249999999997</v>
      </c>
      <c r="X30" s="25">
        <f t="shared" si="11"/>
        <v>86.164374999999993</v>
      </c>
      <c r="Y30" s="25">
        <f t="shared" si="12"/>
        <v>93.997500000000002</v>
      </c>
      <c r="Z30" s="26">
        <v>125.33</v>
      </c>
      <c r="AA30" s="26">
        <v>70.498125000000002</v>
      </c>
      <c r="AB30" s="25"/>
    </row>
    <row r="31" spans="1:28" ht="30" customHeight="1" x14ac:dyDescent="0.25">
      <c r="A31" s="22" t="s">
        <v>217</v>
      </c>
      <c r="B31" s="22" t="s">
        <v>218</v>
      </c>
      <c r="C31" s="22">
        <v>25</v>
      </c>
      <c r="D31" s="22">
        <v>81</v>
      </c>
      <c r="E31" s="22">
        <v>12</v>
      </c>
      <c r="F31" s="22"/>
      <c r="G31" s="23" t="s">
        <v>219</v>
      </c>
      <c r="H31" s="22">
        <v>1</v>
      </c>
      <c r="I31" s="22">
        <v>2.9000000000000001E-2</v>
      </c>
      <c r="J31" s="41">
        <v>30</v>
      </c>
      <c r="K31" s="24">
        <f t="shared" si="2"/>
        <v>30</v>
      </c>
      <c r="L31" s="25">
        <v>28.53</v>
      </c>
      <c r="M31" s="25">
        <v>28.53</v>
      </c>
      <c r="N31" s="25">
        <f t="shared" si="3"/>
        <v>12.325000000000001</v>
      </c>
      <c r="O31" s="25">
        <f t="shared" si="4"/>
        <v>40.855000000000004</v>
      </c>
      <c r="P31" s="25">
        <f t="shared" si="5"/>
        <v>40.855000000000004</v>
      </c>
      <c r="Q31" s="25">
        <f t="shared" si="6"/>
        <v>51.068750000000009</v>
      </c>
      <c r="R31" s="25">
        <f t="shared" si="7"/>
        <v>61.282500000000006</v>
      </c>
      <c r="S31" s="25">
        <f t="shared" si="8"/>
        <v>71.496250000000003</v>
      </c>
      <c r="T31" s="25">
        <f t="shared" si="9"/>
        <v>81.710000000000008</v>
      </c>
      <c r="U31" s="25">
        <f t="shared" si="10"/>
        <v>91.923750000000013</v>
      </c>
      <c r="V31" s="25">
        <f t="shared" si="10"/>
        <v>91.923750000000013</v>
      </c>
      <c r="W31" s="25">
        <f t="shared" si="1"/>
        <v>102.13750000000002</v>
      </c>
      <c r="X31" s="25">
        <f t="shared" si="11"/>
        <v>112.35125000000001</v>
      </c>
      <c r="Y31" s="25">
        <f t="shared" si="12"/>
        <v>122.56500000000001</v>
      </c>
      <c r="Z31" s="26">
        <v>81.710000000000008</v>
      </c>
      <c r="AA31" s="26"/>
      <c r="AB31" s="25"/>
    </row>
    <row r="32" spans="1:28" ht="30" customHeight="1" x14ac:dyDescent="0.25">
      <c r="A32" s="22" t="s">
        <v>220</v>
      </c>
      <c r="B32" s="22" t="s">
        <v>221</v>
      </c>
      <c r="C32" s="22">
        <v>25</v>
      </c>
      <c r="D32" s="22">
        <v>81</v>
      </c>
      <c r="E32" s="22">
        <v>12</v>
      </c>
      <c r="F32" s="22"/>
      <c r="G32" s="23" t="s">
        <v>222</v>
      </c>
      <c r="H32" s="22">
        <v>1</v>
      </c>
      <c r="I32" s="22">
        <v>2.9000000000000001E-2</v>
      </c>
      <c r="J32" s="41">
        <v>30</v>
      </c>
      <c r="K32" s="24">
        <f t="shared" si="2"/>
        <v>30</v>
      </c>
      <c r="L32" s="25">
        <v>28.53</v>
      </c>
      <c r="M32" s="25">
        <v>28.53</v>
      </c>
      <c r="N32" s="25">
        <f t="shared" si="3"/>
        <v>12.325000000000001</v>
      </c>
      <c r="O32" s="25">
        <f t="shared" si="4"/>
        <v>40.855000000000004</v>
      </c>
      <c r="P32" s="25">
        <f t="shared" si="5"/>
        <v>40.855000000000004</v>
      </c>
      <c r="Q32" s="25">
        <f t="shared" si="6"/>
        <v>51.068750000000009</v>
      </c>
      <c r="R32" s="25">
        <f t="shared" si="7"/>
        <v>61.282500000000006</v>
      </c>
      <c r="S32" s="25">
        <f t="shared" si="8"/>
        <v>71.496250000000003</v>
      </c>
      <c r="T32" s="25">
        <f t="shared" si="9"/>
        <v>81.710000000000008</v>
      </c>
      <c r="U32" s="25">
        <f t="shared" si="10"/>
        <v>91.923750000000013</v>
      </c>
      <c r="V32" s="25">
        <f t="shared" si="10"/>
        <v>91.923750000000013</v>
      </c>
      <c r="W32" s="25">
        <f t="shared" si="1"/>
        <v>102.13750000000002</v>
      </c>
      <c r="X32" s="25">
        <f t="shared" si="11"/>
        <v>112.35125000000001</v>
      </c>
      <c r="Y32" s="25">
        <f t="shared" si="12"/>
        <v>122.56500000000001</v>
      </c>
      <c r="Z32" s="26">
        <v>81.710000000000008</v>
      </c>
      <c r="AA32" s="26"/>
      <c r="AB32" s="25"/>
    </row>
    <row r="33" spans="1:28" ht="24.95" customHeight="1" x14ac:dyDescent="0.25">
      <c r="A33" s="22" t="s">
        <v>223</v>
      </c>
      <c r="B33" s="22" t="s">
        <v>221</v>
      </c>
      <c r="C33" s="22">
        <v>25</v>
      </c>
      <c r="D33" s="22">
        <v>81</v>
      </c>
      <c r="E33" s="22">
        <v>12</v>
      </c>
      <c r="F33" s="22"/>
      <c r="G33" s="23" t="s">
        <v>224</v>
      </c>
      <c r="H33" s="22">
        <v>1</v>
      </c>
      <c r="I33" s="22">
        <v>2.9000000000000001E-2</v>
      </c>
      <c r="J33" s="41">
        <v>30</v>
      </c>
      <c r="K33" s="24">
        <f t="shared" si="2"/>
        <v>30</v>
      </c>
      <c r="L33" s="25">
        <v>28.53</v>
      </c>
      <c r="M33" s="25">
        <v>28.53</v>
      </c>
      <c r="N33" s="25">
        <f t="shared" si="3"/>
        <v>12.325000000000001</v>
      </c>
      <c r="O33" s="25">
        <f t="shared" si="4"/>
        <v>40.855000000000004</v>
      </c>
      <c r="P33" s="25">
        <f t="shared" si="5"/>
        <v>40.855000000000004</v>
      </c>
      <c r="Q33" s="25">
        <f t="shared" si="6"/>
        <v>51.068750000000009</v>
      </c>
      <c r="R33" s="25">
        <f t="shared" si="7"/>
        <v>61.282500000000006</v>
      </c>
      <c r="S33" s="25">
        <f t="shared" si="8"/>
        <v>71.496250000000003</v>
      </c>
      <c r="T33" s="25">
        <f t="shared" si="9"/>
        <v>81.710000000000008</v>
      </c>
      <c r="U33" s="25">
        <f t="shared" si="10"/>
        <v>91.923750000000013</v>
      </c>
      <c r="V33" s="25">
        <f t="shared" si="10"/>
        <v>91.923750000000013</v>
      </c>
      <c r="W33" s="25">
        <f t="shared" si="1"/>
        <v>102.13750000000002</v>
      </c>
      <c r="X33" s="25">
        <f t="shared" si="11"/>
        <v>112.35125000000001</v>
      </c>
      <c r="Y33" s="25">
        <f t="shared" si="12"/>
        <v>122.56500000000001</v>
      </c>
      <c r="Z33" s="26">
        <v>81.710000000000008</v>
      </c>
      <c r="AA33" s="26"/>
      <c r="AB33" s="25"/>
    </row>
    <row r="34" spans="1:28" ht="24.95" customHeight="1" x14ac:dyDescent="0.25">
      <c r="A34" s="34" t="s">
        <v>268</v>
      </c>
      <c r="B34" s="22"/>
      <c r="C34" s="22"/>
      <c r="D34" s="22"/>
      <c r="E34" s="22"/>
      <c r="F34" s="22"/>
      <c r="G34" s="23"/>
      <c r="H34" s="22"/>
      <c r="I34" s="22"/>
      <c r="J34" s="41"/>
      <c r="K34" s="24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6"/>
      <c r="AA34" s="26"/>
      <c r="AB34" s="25"/>
    </row>
    <row r="35" spans="1:28" ht="30" customHeight="1" x14ac:dyDescent="0.25">
      <c r="A35" s="22" t="s">
        <v>225</v>
      </c>
      <c r="B35" s="22" t="s">
        <v>226</v>
      </c>
      <c r="C35" s="22">
        <v>50</v>
      </c>
      <c r="D35" s="22">
        <v>16</v>
      </c>
      <c r="E35" s="22">
        <v>50</v>
      </c>
      <c r="F35" s="22"/>
      <c r="G35" s="23" t="s">
        <v>227</v>
      </c>
      <c r="H35" s="22">
        <v>2</v>
      </c>
      <c r="I35" s="22">
        <v>0.03</v>
      </c>
      <c r="J35" s="41">
        <v>50</v>
      </c>
      <c r="K35" s="24">
        <f t="shared" si="2"/>
        <v>100</v>
      </c>
      <c r="L35" s="25">
        <v>35.26</v>
      </c>
      <c r="M35" s="25">
        <v>35.26</v>
      </c>
      <c r="N35" s="25">
        <f t="shared" si="3"/>
        <v>12.75</v>
      </c>
      <c r="O35" s="25">
        <f t="shared" si="4"/>
        <v>48.01</v>
      </c>
      <c r="P35" s="25">
        <f t="shared" si="5"/>
        <v>24.004999999999999</v>
      </c>
      <c r="Q35" s="25">
        <f t="shared" si="6"/>
        <v>60.012499999999996</v>
      </c>
      <c r="R35" s="25">
        <f t="shared" si="7"/>
        <v>72.015000000000001</v>
      </c>
      <c r="S35" s="25">
        <f t="shared" si="8"/>
        <v>84.017499999999998</v>
      </c>
      <c r="T35" s="25">
        <f t="shared" si="9"/>
        <v>96.02</v>
      </c>
      <c r="U35" s="25">
        <f t="shared" si="10"/>
        <v>108.02249999999999</v>
      </c>
      <c r="V35" s="25">
        <f t="shared" si="10"/>
        <v>54.011249999999997</v>
      </c>
      <c r="W35" s="25">
        <f t="shared" si="1"/>
        <v>60.012499999999996</v>
      </c>
      <c r="X35" s="25">
        <f t="shared" si="11"/>
        <v>66.013750000000002</v>
      </c>
      <c r="Y35" s="25">
        <f t="shared" si="12"/>
        <v>72.015000000000001</v>
      </c>
      <c r="Z35" s="26">
        <v>96.92</v>
      </c>
      <c r="AA35" s="26">
        <v>54.01</v>
      </c>
      <c r="AB35" s="25"/>
    </row>
    <row r="36" spans="1:28" ht="20.100000000000001" customHeight="1" x14ac:dyDescent="0.25">
      <c r="A36" s="22" t="s">
        <v>228</v>
      </c>
      <c r="B36" s="22" t="s">
        <v>229</v>
      </c>
      <c r="C36" s="22">
        <v>50</v>
      </c>
      <c r="D36" s="22">
        <v>16</v>
      </c>
      <c r="E36" s="22">
        <v>50</v>
      </c>
      <c r="F36" s="22"/>
      <c r="G36" s="23" t="s">
        <v>230</v>
      </c>
      <c r="H36" s="22">
        <v>2</v>
      </c>
      <c r="I36" s="22">
        <v>0.03</v>
      </c>
      <c r="J36" s="41">
        <v>50</v>
      </c>
      <c r="K36" s="24">
        <f t="shared" si="2"/>
        <v>100</v>
      </c>
      <c r="L36" s="25">
        <v>35.229999999999997</v>
      </c>
      <c r="M36" s="25">
        <v>35.229999999999997</v>
      </c>
      <c r="N36" s="25">
        <f t="shared" si="3"/>
        <v>12.75</v>
      </c>
      <c r="O36" s="25">
        <f t="shared" si="4"/>
        <v>47.98</v>
      </c>
      <c r="P36" s="25">
        <f t="shared" si="5"/>
        <v>23.99</v>
      </c>
      <c r="Q36" s="25">
        <f t="shared" si="6"/>
        <v>59.974999999999994</v>
      </c>
      <c r="R36" s="25">
        <f t="shared" si="7"/>
        <v>71.97</v>
      </c>
      <c r="S36" s="25">
        <f t="shared" si="8"/>
        <v>83.964999999999989</v>
      </c>
      <c r="T36" s="25">
        <f t="shared" si="9"/>
        <v>95.96</v>
      </c>
      <c r="U36" s="25">
        <f t="shared" si="10"/>
        <v>107.955</v>
      </c>
      <c r="V36" s="25">
        <f t="shared" si="10"/>
        <v>53.977499999999999</v>
      </c>
      <c r="W36" s="25">
        <f t="shared" si="1"/>
        <v>59.974999999999994</v>
      </c>
      <c r="X36" s="25">
        <f t="shared" si="11"/>
        <v>65.972499999999997</v>
      </c>
      <c r="Y36" s="25">
        <f t="shared" si="12"/>
        <v>71.97</v>
      </c>
      <c r="Z36" s="26">
        <v>96.92</v>
      </c>
      <c r="AA36" s="26">
        <v>54.01</v>
      </c>
      <c r="AB36" s="25"/>
    </row>
    <row r="37" spans="1:28" ht="30" customHeight="1" x14ac:dyDescent="0.25">
      <c r="A37" s="22" t="s">
        <v>231</v>
      </c>
      <c r="B37" s="22" t="s">
        <v>232</v>
      </c>
      <c r="C37" s="22">
        <v>50</v>
      </c>
      <c r="D37" s="22">
        <v>16</v>
      </c>
      <c r="E37" s="22">
        <v>50</v>
      </c>
      <c r="F37" s="22"/>
      <c r="G37" s="23" t="s">
        <v>233</v>
      </c>
      <c r="H37" s="22">
        <v>2</v>
      </c>
      <c r="I37" s="22">
        <v>0.03</v>
      </c>
      <c r="J37" s="41">
        <v>50</v>
      </c>
      <c r="K37" s="24">
        <f>SUM(H37*J37)</f>
        <v>100</v>
      </c>
      <c r="L37" s="25">
        <v>35.229999999999997</v>
      </c>
      <c r="M37" s="25">
        <v>35.229999999999997</v>
      </c>
      <c r="N37" s="25">
        <f>SUM(I37*425)</f>
        <v>12.75</v>
      </c>
      <c r="O37" s="25">
        <f>SUM(M37+N37)</f>
        <v>47.98</v>
      </c>
      <c r="P37" s="25">
        <f>SUM(O37/H37)</f>
        <v>23.99</v>
      </c>
      <c r="Q37" s="25">
        <f>SUM(O37*1.25)</f>
        <v>59.974999999999994</v>
      </c>
      <c r="R37" s="25">
        <f>SUM(O37*1.5)</f>
        <v>71.97</v>
      </c>
      <c r="S37" s="25">
        <f>SUM(O37*1.75)</f>
        <v>83.964999999999989</v>
      </c>
      <c r="T37" s="25">
        <f>SUM(O37*2)</f>
        <v>95.96</v>
      </c>
      <c r="U37" s="25">
        <f>SUM(O37*2.25)</f>
        <v>107.955</v>
      </c>
      <c r="V37" s="25">
        <f>SUM(P37*2.25)</f>
        <v>53.977499999999999</v>
      </c>
      <c r="W37" s="25">
        <f>SUM(P37*2.5)</f>
        <v>59.974999999999994</v>
      </c>
      <c r="X37" s="25">
        <f>SUM(P37*2.75)</f>
        <v>65.972499999999997</v>
      </c>
      <c r="Y37" s="25">
        <f>SUM(P37*3)</f>
        <v>71.97</v>
      </c>
      <c r="Z37" s="26">
        <v>96.92</v>
      </c>
      <c r="AA37" s="26">
        <v>54.01</v>
      </c>
      <c r="AB37" s="25"/>
    </row>
    <row r="38" spans="1:28" ht="20.100000000000001" customHeight="1" x14ac:dyDescent="0.25">
      <c r="A38" s="22" t="s">
        <v>248</v>
      </c>
      <c r="B38" s="22" t="s">
        <v>249</v>
      </c>
      <c r="C38" s="22">
        <v>25</v>
      </c>
      <c r="D38" s="22">
        <v>36</v>
      </c>
      <c r="E38" s="22">
        <v>6</v>
      </c>
      <c r="F38" s="22"/>
      <c r="G38" s="23" t="s">
        <v>250</v>
      </c>
      <c r="H38" s="22">
        <v>4</v>
      </c>
      <c r="I38" s="22">
        <v>3.2000000000000001E-2</v>
      </c>
      <c r="J38" s="41">
        <v>50</v>
      </c>
      <c r="K38" s="24">
        <f>SUM(H38*J38)</f>
        <v>200</v>
      </c>
      <c r="L38" s="25">
        <v>60.59</v>
      </c>
      <c r="M38" s="25">
        <v>60.59</v>
      </c>
      <c r="N38" s="25">
        <f>SUM(I38*425)</f>
        <v>13.6</v>
      </c>
      <c r="O38" s="25">
        <f>SUM(M38+N38)</f>
        <v>74.19</v>
      </c>
      <c r="P38" s="25">
        <f>SUM(O38/H38)</f>
        <v>18.547499999999999</v>
      </c>
      <c r="Q38" s="25">
        <f>SUM(O38*1.25)</f>
        <v>92.737499999999997</v>
      </c>
      <c r="R38" s="25">
        <f>SUM(O38*1.5)</f>
        <v>111.285</v>
      </c>
      <c r="S38" s="25">
        <f>SUM(O38*1.75)</f>
        <v>129.83249999999998</v>
      </c>
      <c r="T38" s="25">
        <f>SUM(O38*2)</f>
        <v>148.38</v>
      </c>
      <c r="U38" s="25">
        <f>SUM(O38*2.25)</f>
        <v>166.92750000000001</v>
      </c>
      <c r="V38" s="25">
        <f>SUM(P38*2.25)</f>
        <v>41.731875000000002</v>
      </c>
      <c r="W38" s="25">
        <f>SUM(P38*2.5)</f>
        <v>46.368749999999999</v>
      </c>
      <c r="X38" s="25">
        <f>SUM(P38*2.75)</f>
        <v>51.005624999999995</v>
      </c>
      <c r="Y38" s="25">
        <f>SUM(P38*3)</f>
        <v>55.642499999999998</v>
      </c>
      <c r="Z38" s="26">
        <v>149.07</v>
      </c>
      <c r="AA38" s="26">
        <v>41.93</v>
      </c>
      <c r="AB38" s="25"/>
    </row>
    <row r="39" spans="1:28" ht="24.95" customHeight="1" x14ac:dyDescent="0.25">
      <c r="A39" s="34" t="s">
        <v>267</v>
      </c>
      <c r="B39" s="22"/>
      <c r="C39" s="22"/>
      <c r="D39" s="22"/>
      <c r="E39" s="22"/>
      <c r="F39" s="22"/>
      <c r="G39" s="23"/>
      <c r="H39" s="22"/>
      <c r="I39" s="22"/>
      <c r="J39" s="41"/>
      <c r="K39" s="24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6"/>
      <c r="AA39" s="26"/>
      <c r="AB39" s="25"/>
    </row>
    <row r="40" spans="1:28" ht="324.95" customHeight="1" x14ac:dyDescent="0.25">
      <c r="A40" s="22" t="s">
        <v>234</v>
      </c>
      <c r="B40" s="22" t="s">
        <v>235</v>
      </c>
      <c r="C40" s="22" t="s">
        <v>236</v>
      </c>
      <c r="D40" s="22">
        <v>264</v>
      </c>
      <c r="E40" s="22">
        <v>200</v>
      </c>
      <c r="F40" s="22"/>
      <c r="G40" s="23" t="s">
        <v>237</v>
      </c>
      <c r="H40" s="27">
        <v>4</v>
      </c>
      <c r="I40" s="22">
        <v>6.7000000000000004E-2</v>
      </c>
      <c r="J40" s="41">
        <v>50</v>
      </c>
      <c r="K40" s="24">
        <f t="shared" si="2"/>
        <v>200</v>
      </c>
      <c r="L40" s="25">
        <v>85.37</v>
      </c>
      <c r="M40" s="25">
        <v>85.37</v>
      </c>
      <c r="N40" s="25">
        <f t="shared" si="3"/>
        <v>28.475000000000001</v>
      </c>
      <c r="O40" s="25">
        <f t="shared" si="4"/>
        <v>113.845</v>
      </c>
      <c r="P40" s="25">
        <f t="shared" si="5"/>
        <v>28.46125</v>
      </c>
      <c r="Q40" s="25">
        <f t="shared" si="6"/>
        <v>142.30625000000001</v>
      </c>
      <c r="R40" s="25">
        <f t="shared" si="7"/>
        <v>170.76749999999998</v>
      </c>
      <c r="S40" s="25">
        <f t="shared" si="8"/>
        <v>199.22874999999999</v>
      </c>
      <c r="T40" s="25">
        <f t="shared" si="9"/>
        <v>227.69</v>
      </c>
      <c r="U40" s="25">
        <f t="shared" si="10"/>
        <v>256.15125</v>
      </c>
      <c r="V40" s="25">
        <f t="shared" si="10"/>
        <v>64.037812500000001</v>
      </c>
      <c r="W40" s="25">
        <f t="shared" si="1"/>
        <v>71.153125000000003</v>
      </c>
      <c r="X40" s="25">
        <f t="shared" si="11"/>
        <v>78.268437500000005</v>
      </c>
      <c r="Y40" s="25">
        <f t="shared" si="12"/>
        <v>85.383749999999992</v>
      </c>
      <c r="Z40" s="26">
        <v>227.69</v>
      </c>
      <c r="AA40" s="26"/>
      <c r="AB40" s="25"/>
    </row>
    <row r="41" spans="1:28" ht="150" customHeight="1" x14ac:dyDescent="0.25">
      <c r="A41" s="22" t="s">
        <v>238</v>
      </c>
      <c r="B41" s="22" t="s">
        <v>235</v>
      </c>
      <c r="C41" s="28" t="s">
        <v>239</v>
      </c>
      <c r="D41" s="22">
        <v>104</v>
      </c>
      <c r="E41" s="22">
        <v>85</v>
      </c>
      <c r="F41" s="22"/>
      <c r="G41" s="29" t="s">
        <v>240</v>
      </c>
      <c r="H41" s="27">
        <v>4</v>
      </c>
      <c r="I41" s="22">
        <v>4.8000000000000001E-2</v>
      </c>
      <c r="K41" s="24">
        <f>SUM(H41*J42)</f>
        <v>200</v>
      </c>
      <c r="L41" s="25">
        <v>69.209999999999994</v>
      </c>
      <c r="M41" s="25">
        <v>69.209999999999994</v>
      </c>
      <c r="N41" s="25">
        <f t="shared" si="3"/>
        <v>20.400000000000002</v>
      </c>
      <c r="O41" s="25">
        <f t="shared" si="4"/>
        <v>89.61</v>
      </c>
      <c r="P41" s="25">
        <f t="shared" si="5"/>
        <v>22.4025</v>
      </c>
      <c r="Q41" s="25">
        <f t="shared" si="6"/>
        <v>112.0125</v>
      </c>
      <c r="R41" s="25">
        <f t="shared" si="7"/>
        <v>134.41499999999999</v>
      </c>
      <c r="S41" s="25">
        <f t="shared" si="8"/>
        <v>156.8175</v>
      </c>
      <c r="T41" s="25">
        <f t="shared" si="9"/>
        <v>179.22</v>
      </c>
      <c r="U41" s="25">
        <f t="shared" si="10"/>
        <v>201.6225</v>
      </c>
      <c r="V41" s="25">
        <f t="shared" si="10"/>
        <v>50.405625000000001</v>
      </c>
      <c r="W41" s="25">
        <f t="shared" si="1"/>
        <v>56.006250000000001</v>
      </c>
      <c r="X41" s="25">
        <f t="shared" si="11"/>
        <v>61.606875000000002</v>
      </c>
      <c r="Y41" s="25">
        <f t="shared" si="12"/>
        <v>67.207499999999996</v>
      </c>
      <c r="Z41" s="26">
        <v>179.22</v>
      </c>
      <c r="AA41" s="26"/>
      <c r="AB41" s="25"/>
    </row>
    <row r="42" spans="1:28" ht="150" customHeight="1" x14ac:dyDescent="0.25">
      <c r="A42" s="22" t="s">
        <v>241</v>
      </c>
      <c r="B42" s="22" t="s">
        <v>235</v>
      </c>
      <c r="C42" s="22">
        <v>25</v>
      </c>
      <c r="D42" s="22">
        <v>179</v>
      </c>
      <c r="E42" s="22">
        <v>185</v>
      </c>
      <c r="F42" s="22"/>
      <c r="G42" s="29" t="s">
        <v>242</v>
      </c>
      <c r="H42" s="27">
        <v>4</v>
      </c>
      <c r="I42" s="22">
        <v>7.1999999999999995E-2</v>
      </c>
      <c r="J42" s="41">
        <v>50</v>
      </c>
      <c r="K42" s="24" t="e">
        <f>SUM(H42*#REF!)</f>
        <v>#REF!</v>
      </c>
      <c r="L42" s="25">
        <v>72.98</v>
      </c>
      <c r="M42" s="25">
        <v>72.98</v>
      </c>
      <c r="N42" s="25">
        <f t="shared" si="3"/>
        <v>30.599999999999998</v>
      </c>
      <c r="O42" s="25">
        <f t="shared" si="4"/>
        <v>103.58</v>
      </c>
      <c r="P42" s="25">
        <f t="shared" si="5"/>
        <v>25.895</v>
      </c>
      <c r="Q42" s="25">
        <f t="shared" si="6"/>
        <v>129.47499999999999</v>
      </c>
      <c r="R42" s="25">
        <f t="shared" si="7"/>
        <v>155.37</v>
      </c>
      <c r="S42" s="25">
        <f t="shared" si="8"/>
        <v>181.26499999999999</v>
      </c>
      <c r="T42" s="25">
        <f t="shared" si="9"/>
        <v>207.16</v>
      </c>
      <c r="U42" s="25">
        <f t="shared" si="10"/>
        <v>233.05500000000001</v>
      </c>
      <c r="V42" s="25">
        <f t="shared" si="10"/>
        <v>58.263750000000002</v>
      </c>
      <c r="W42" s="25">
        <f t="shared" si="1"/>
        <v>64.737499999999997</v>
      </c>
      <c r="X42" s="25">
        <f t="shared" si="11"/>
        <v>71.211249999999993</v>
      </c>
      <c r="Y42" s="25">
        <f t="shared" si="12"/>
        <v>77.685000000000002</v>
      </c>
      <c r="Z42" s="26">
        <v>207.16</v>
      </c>
      <c r="AA42" s="26"/>
      <c r="AB42" s="25"/>
    </row>
    <row r="43" spans="1:28" ht="140.1" customHeight="1" x14ac:dyDescent="0.25">
      <c r="A43" s="22" t="s">
        <v>243</v>
      </c>
      <c r="B43" s="22" t="s">
        <v>235</v>
      </c>
      <c r="C43" s="22" t="s">
        <v>244</v>
      </c>
      <c r="D43" s="22">
        <v>343</v>
      </c>
      <c r="E43" s="22">
        <v>350</v>
      </c>
      <c r="F43" s="22"/>
      <c r="G43" s="29" t="s">
        <v>245</v>
      </c>
      <c r="H43" s="27">
        <v>7</v>
      </c>
      <c r="I43" s="22">
        <v>6.2E-2</v>
      </c>
      <c r="J43" s="41">
        <v>50</v>
      </c>
      <c r="K43" s="24">
        <f t="shared" si="2"/>
        <v>350</v>
      </c>
      <c r="L43" s="25">
        <v>92.61</v>
      </c>
      <c r="M43" s="25">
        <v>92.61</v>
      </c>
      <c r="N43" s="25">
        <f t="shared" si="3"/>
        <v>26.35</v>
      </c>
      <c r="O43" s="25">
        <f t="shared" si="4"/>
        <v>118.96000000000001</v>
      </c>
      <c r="P43" s="25">
        <f t="shared" si="5"/>
        <v>16.994285714285716</v>
      </c>
      <c r="Q43" s="25">
        <f t="shared" si="6"/>
        <v>148.70000000000002</v>
      </c>
      <c r="R43" s="25">
        <f t="shared" si="7"/>
        <v>178.44</v>
      </c>
      <c r="S43" s="25">
        <f t="shared" si="8"/>
        <v>208.18</v>
      </c>
      <c r="T43" s="25">
        <f t="shared" si="9"/>
        <v>237.92000000000002</v>
      </c>
      <c r="U43" s="25">
        <f t="shared" si="10"/>
        <v>267.66000000000003</v>
      </c>
      <c r="V43" s="25">
        <f t="shared" si="10"/>
        <v>38.237142857142864</v>
      </c>
      <c r="W43" s="25">
        <f t="shared" si="1"/>
        <v>42.485714285714295</v>
      </c>
      <c r="X43" s="25">
        <f t="shared" si="11"/>
        <v>46.734285714285718</v>
      </c>
      <c r="Y43" s="25">
        <f t="shared" si="12"/>
        <v>50.982857142857149</v>
      </c>
      <c r="Z43" s="26">
        <v>237.92</v>
      </c>
      <c r="AA43" s="26"/>
      <c r="AB43" s="25"/>
    </row>
    <row r="44" spans="1:28" ht="110.1" customHeight="1" x14ac:dyDescent="0.25">
      <c r="A44" s="22" t="s">
        <v>246</v>
      </c>
      <c r="B44" s="22" t="s">
        <v>235</v>
      </c>
      <c r="C44" s="22">
        <v>30</v>
      </c>
      <c r="D44" s="22">
        <v>196</v>
      </c>
      <c r="E44" s="22">
        <v>130</v>
      </c>
      <c r="F44" s="22"/>
      <c r="G44" s="29" t="s">
        <v>247</v>
      </c>
      <c r="H44" s="27">
        <v>4</v>
      </c>
      <c r="I44" s="22">
        <v>8.4000000000000005E-2</v>
      </c>
      <c r="J44" s="41">
        <v>50</v>
      </c>
      <c r="K44" s="24">
        <f t="shared" si="2"/>
        <v>200</v>
      </c>
      <c r="L44" s="25">
        <v>83.04</v>
      </c>
      <c r="M44" s="25">
        <v>83.04</v>
      </c>
      <c r="N44" s="25">
        <f t="shared" si="3"/>
        <v>35.700000000000003</v>
      </c>
      <c r="O44" s="25">
        <f t="shared" si="4"/>
        <v>118.74000000000001</v>
      </c>
      <c r="P44" s="25">
        <f t="shared" si="5"/>
        <v>29.685000000000002</v>
      </c>
      <c r="Q44" s="25">
        <f t="shared" si="6"/>
        <v>148.42500000000001</v>
      </c>
      <c r="R44" s="25">
        <f t="shared" si="7"/>
        <v>178.11</v>
      </c>
      <c r="S44" s="25">
        <f t="shared" si="8"/>
        <v>207.79500000000002</v>
      </c>
      <c r="T44" s="25">
        <f t="shared" si="9"/>
        <v>237.48000000000002</v>
      </c>
      <c r="U44" s="25">
        <f t="shared" si="10"/>
        <v>267.16500000000002</v>
      </c>
      <c r="V44" s="25">
        <f t="shared" si="10"/>
        <v>66.791250000000005</v>
      </c>
      <c r="W44" s="25">
        <f t="shared" si="1"/>
        <v>74.212500000000006</v>
      </c>
      <c r="X44" s="25">
        <f t="shared" si="11"/>
        <v>81.633750000000006</v>
      </c>
      <c r="Y44" s="25">
        <f t="shared" si="12"/>
        <v>89.055000000000007</v>
      </c>
      <c r="Z44" s="26">
        <v>237.92</v>
      </c>
      <c r="AA44" s="26"/>
      <c r="AB44" s="25"/>
    </row>
    <row r="45" spans="1:28" ht="20.100000000000001" customHeight="1" x14ac:dyDescent="0.25">
      <c r="A45" s="34" t="s">
        <v>270</v>
      </c>
      <c r="B45" s="22"/>
      <c r="C45" s="22"/>
      <c r="D45" s="22"/>
      <c r="E45" s="22"/>
      <c r="F45" s="22"/>
      <c r="G45" s="23"/>
      <c r="H45" s="22"/>
      <c r="I45" s="22"/>
      <c r="J45" s="41"/>
      <c r="K45" s="24">
        <f t="shared" si="2"/>
        <v>0</v>
      </c>
      <c r="L45" s="25"/>
      <c r="M45" s="25"/>
      <c r="N45" s="25"/>
      <c r="O45" s="25"/>
      <c r="P45" s="25" t="e">
        <f t="shared" si="5"/>
        <v>#DIV/0!</v>
      </c>
      <c r="Q45" s="25">
        <f t="shared" si="6"/>
        <v>0</v>
      </c>
      <c r="R45" s="25">
        <f t="shared" si="7"/>
        <v>0</v>
      </c>
      <c r="S45" s="25">
        <f t="shared" si="8"/>
        <v>0</v>
      </c>
      <c r="T45" s="25"/>
      <c r="U45" s="25"/>
      <c r="V45" s="25"/>
      <c r="W45" s="25" t="e">
        <f t="shared" si="1"/>
        <v>#DIV/0!</v>
      </c>
      <c r="X45" s="25" t="e">
        <f t="shared" si="11"/>
        <v>#DIV/0!</v>
      </c>
      <c r="Y45" s="25" t="e">
        <f t="shared" si="12"/>
        <v>#DIV/0!</v>
      </c>
      <c r="Z45" s="26"/>
      <c r="AA45" s="26"/>
      <c r="AB45" s="25"/>
    </row>
    <row r="46" spans="1:28" ht="15" customHeight="1" x14ac:dyDescent="0.25">
      <c r="A46" s="4" t="s">
        <v>251</v>
      </c>
      <c r="B46" s="4" t="s">
        <v>252</v>
      </c>
      <c r="C46" s="4">
        <v>30</v>
      </c>
      <c r="D46" s="4">
        <v>9</v>
      </c>
      <c r="E46" s="4">
        <v>4</v>
      </c>
      <c r="F46" s="4"/>
      <c r="G46" s="4" t="s">
        <v>253</v>
      </c>
      <c r="H46" s="4">
        <v>10</v>
      </c>
      <c r="I46" s="4">
        <v>5.3999999999999999E-2</v>
      </c>
      <c r="J46" s="20">
        <v>30</v>
      </c>
      <c r="K46" s="21">
        <f t="shared" si="2"/>
        <v>300</v>
      </c>
      <c r="L46" s="8">
        <v>59.68</v>
      </c>
      <c r="M46" s="8">
        <f t="shared" si="13"/>
        <v>59.68</v>
      </c>
      <c r="N46" s="8">
        <f t="shared" si="3"/>
        <v>22.95</v>
      </c>
      <c r="O46" s="8">
        <f t="shared" si="4"/>
        <v>82.63</v>
      </c>
      <c r="P46" s="8">
        <f t="shared" si="5"/>
        <v>8.2629999999999999</v>
      </c>
      <c r="Q46" s="8">
        <f t="shared" si="6"/>
        <v>103.28749999999999</v>
      </c>
      <c r="R46" s="8">
        <f t="shared" si="7"/>
        <v>123.94499999999999</v>
      </c>
      <c r="S46" s="8">
        <f t="shared" si="8"/>
        <v>144.60249999999999</v>
      </c>
      <c r="T46" s="8">
        <f t="shared" si="9"/>
        <v>165.26</v>
      </c>
      <c r="U46" s="8">
        <f t="shared" si="10"/>
        <v>185.91749999999999</v>
      </c>
      <c r="V46" s="8">
        <f t="shared" si="10"/>
        <v>18.591750000000001</v>
      </c>
      <c r="W46" s="8">
        <f t="shared" si="1"/>
        <v>20.657499999999999</v>
      </c>
      <c r="X46" s="8">
        <f t="shared" si="11"/>
        <v>22.72325</v>
      </c>
      <c r="Y46" s="8">
        <f t="shared" si="12"/>
        <v>24.789000000000001</v>
      </c>
      <c r="Z46" s="6">
        <v>165.26</v>
      </c>
      <c r="AA46" s="6">
        <v>18.591750000000001</v>
      </c>
      <c r="AB46" s="8"/>
    </row>
    <row r="47" spans="1:28" ht="15" customHeight="1" x14ac:dyDescent="0.25">
      <c r="A47" s="4" t="s">
        <v>254</v>
      </c>
      <c r="B47" s="4" t="s">
        <v>252</v>
      </c>
      <c r="C47" s="4">
        <v>30</v>
      </c>
      <c r="D47" s="4">
        <v>9</v>
      </c>
      <c r="E47" s="4">
        <v>4</v>
      </c>
      <c r="F47" s="4"/>
      <c r="G47" s="4" t="s">
        <v>255</v>
      </c>
      <c r="H47" s="4">
        <v>10</v>
      </c>
      <c r="I47" s="4">
        <v>5.3999999999999999E-2</v>
      </c>
      <c r="J47" s="20">
        <v>30</v>
      </c>
      <c r="K47" s="21">
        <f t="shared" si="2"/>
        <v>300</v>
      </c>
      <c r="L47" s="8">
        <v>59.68</v>
      </c>
      <c r="M47" s="8">
        <f t="shared" si="13"/>
        <v>59.68</v>
      </c>
      <c r="N47" s="8">
        <f t="shared" si="3"/>
        <v>22.95</v>
      </c>
      <c r="O47" s="8">
        <f t="shared" si="4"/>
        <v>82.63</v>
      </c>
      <c r="P47" s="8">
        <f t="shared" si="5"/>
        <v>8.2629999999999999</v>
      </c>
      <c r="Q47" s="8">
        <f t="shared" si="6"/>
        <v>103.28749999999999</v>
      </c>
      <c r="R47" s="8">
        <f t="shared" si="7"/>
        <v>123.94499999999999</v>
      </c>
      <c r="S47" s="8">
        <f t="shared" si="8"/>
        <v>144.60249999999999</v>
      </c>
      <c r="T47" s="8">
        <f t="shared" si="9"/>
        <v>165.26</v>
      </c>
      <c r="U47" s="8">
        <f t="shared" si="10"/>
        <v>185.91749999999999</v>
      </c>
      <c r="V47" s="8">
        <f t="shared" si="10"/>
        <v>18.591750000000001</v>
      </c>
      <c r="W47" s="8">
        <f t="shared" si="1"/>
        <v>20.657499999999999</v>
      </c>
      <c r="X47" s="8">
        <f t="shared" si="11"/>
        <v>22.72325</v>
      </c>
      <c r="Y47" s="8">
        <f t="shared" si="12"/>
        <v>24.789000000000001</v>
      </c>
      <c r="Z47" s="6">
        <v>165.26</v>
      </c>
      <c r="AA47" s="6">
        <v>18.591750000000001</v>
      </c>
      <c r="AB47" s="8"/>
    </row>
    <row r="48" spans="1:28" ht="15" customHeight="1" x14ac:dyDescent="0.25">
      <c r="A48" s="4" t="s">
        <v>256</v>
      </c>
      <c r="B48" s="4" t="s">
        <v>252</v>
      </c>
      <c r="C48" s="4">
        <v>30</v>
      </c>
      <c r="D48" s="4">
        <v>9</v>
      </c>
      <c r="E48" s="4">
        <v>4</v>
      </c>
      <c r="F48" s="4"/>
      <c r="G48" s="4" t="s">
        <v>257</v>
      </c>
      <c r="H48" s="4">
        <v>10</v>
      </c>
      <c r="I48" s="4">
        <v>5.3999999999999999E-2</v>
      </c>
      <c r="J48" s="42">
        <v>30</v>
      </c>
      <c r="K48" s="21">
        <f t="shared" si="2"/>
        <v>300</v>
      </c>
      <c r="L48" s="8">
        <v>59.68</v>
      </c>
      <c r="M48" s="8">
        <f t="shared" si="13"/>
        <v>59.68</v>
      </c>
      <c r="N48" s="8">
        <f t="shared" si="3"/>
        <v>22.95</v>
      </c>
      <c r="O48" s="8">
        <f t="shared" si="4"/>
        <v>82.63</v>
      </c>
      <c r="P48" s="8">
        <f t="shared" si="5"/>
        <v>8.2629999999999999</v>
      </c>
      <c r="Q48" s="8">
        <f t="shared" si="6"/>
        <v>103.28749999999999</v>
      </c>
      <c r="R48" s="8">
        <f t="shared" si="7"/>
        <v>123.94499999999999</v>
      </c>
      <c r="S48" s="8">
        <f t="shared" si="8"/>
        <v>144.60249999999999</v>
      </c>
      <c r="T48" s="8">
        <f t="shared" si="9"/>
        <v>165.26</v>
      </c>
      <c r="U48" s="8">
        <f t="shared" si="10"/>
        <v>185.91749999999999</v>
      </c>
      <c r="V48" s="8">
        <f t="shared" si="10"/>
        <v>18.591750000000001</v>
      </c>
      <c r="W48" s="8">
        <f t="shared" si="1"/>
        <v>20.657499999999999</v>
      </c>
      <c r="X48" s="8">
        <f t="shared" si="11"/>
        <v>22.72325</v>
      </c>
      <c r="Y48" s="8">
        <f t="shared" si="12"/>
        <v>24.789000000000001</v>
      </c>
      <c r="Z48" s="6">
        <v>165.26</v>
      </c>
      <c r="AA48" s="6">
        <v>18.591750000000001</v>
      </c>
      <c r="AB48" s="8"/>
    </row>
    <row r="49" spans="1:28" ht="15" customHeight="1" x14ac:dyDescent="0.25">
      <c r="A49" s="30" t="s">
        <v>258</v>
      </c>
      <c r="B49" s="30" t="s">
        <v>252</v>
      </c>
      <c r="C49" s="30">
        <v>30</v>
      </c>
      <c r="D49" s="30">
        <v>12</v>
      </c>
      <c r="E49" s="30">
        <v>5</v>
      </c>
      <c r="F49" s="30"/>
      <c r="G49" s="30" t="s">
        <v>259</v>
      </c>
      <c r="H49" s="30">
        <v>5</v>
      </c>
      <c r="I49" s="30">
        <v>4.2000000000000003E-2</v>
      </c>
      <c r="J49" s="43">
        <v>30</v>
      </c>
      <c r="K49" s="31">
        <f t="shared" si="2"/>
        <v>150</v>
      </c>
      <c r="L49" s="32">
        <v>35.590000000000003</v>
      </c>
      <c r="M49" s="32">
        <f t="shared" si="13"/>
        <v>35.590000000000003</v>
      </c>
      <c r="N49" s="32">
        <f t="shared" si="3"/>
        <v>17.850000000000001</v>
      </c>
      <c r="O49" s="32">
        <f t="shared" si="4"/>
        <v>53.440000000000005</v>
      </c>
      <c r="P49" s="32">
        <f t="shared" si="5"/>
        <v>10.688000000000001</v>
      </c>
      <c r="Q49" s="32">
        <f t="shared" si="6"/>
        <v>66.800000000000011</v>
      </c>
      <c r="R49" s="32">
        <f t="shared" si="7"/>
        <v>80.160000000000011</v>
      </c>
      <c r="S49" s="32">
        <f t="shared" si="8"/>
        <v>93.52000000000001</v>
      </c>
      <c r="T49" s="32">
        <f t="shared" si="9"/>
        <v>106.88000000000001</v>
      </c>
      <c r="U49" s="32">
        <f t="shared" si="10"/>
        <v>120.24000000000001</v>
      </c>
      <c r="V49" s="32">
        <f t="shared" si="10"/>
        <v>24.048000000000002</v>
      </c>
      <c r="W49" s="32">
        <f t="shared" si="1"/>
        <v>26.720000000000002</v>
      </c>
      <c r="X49" s="32">
        <f t="shared" si="11"/>
        <v>29.392000000000003</v>
      </c>
      <c r="Y49" s="32">
        <f t="shared" si="12"/>
        <v>32.064</v>
      </c>
      <c r="Z49" s="39">
        <v>106.88</v>
      </c>
      <c r="AA49" s="39">
        <v>24.05</v>
      </c>
      <c r="AB49" s="8"/>
    </row>
    <row r="50" spans="1:28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40"/>
      <c r="K50" s="40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40"/>
      <c r="AB50" s="38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40"/>
      <c r="K51" s="40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40"/>
      <c r="AB51" s="13"/>
    </row>
  </sheetData>
  <pageMargins left="0.7" right="0.7" top="0.75" bottom="0.75" header="0.3" footer="0.3"/>
  <pageSetup scale="87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9B50-2299-418A-A1A8-FF69927061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Consumer 1.4</vt:lpstr>
      <vt:lpstr>Pro Series 1.4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Fayling</dc:creator>
  <cp:lastModifiedBy>William Fayling</cp:lastModifiedBy>
  <cp:lastPrinted>2026-04-13T21:48:33Z</cp:lastPrinted>
  <dcterms:created xsi:type="dcterms:W3CDTF">2026-03-26T19:20:01Z</dcterms:created>
  <dcterms:modified xsi:type="dcterms:W3CDTF">2026-04-14T14:38:09Z</dcterms:modified>
</cp:coreProperties>
</file>