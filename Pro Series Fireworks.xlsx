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Bill\Desktop\"/>
    </mc:Choice>
  </mc:AlternateContent>
  <xr:revisionPtr revIDLastSave="0" documentId="8_{E951E4B4-AA45-4D16-B02F-5B2C38D4D3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izard 1.4G Pricelist" sheetId="2" r:id="rId1"/>
  </sheets>
  <definedNames>
    <definedName name="_xlnm._FilterDatabase" localSheetId="0" hidden="1">'Wizard 1.4G Pricelist'!$A$8:$R$8</definedName>
    <definedName name="_xlnm.Print_Titles" localSheetId="0">'Wizard 1.4G Pricelist'!$7:$7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2" l="1"/>
  <c r="O54" i="2"/>
  <c r="N54" i="2"/>
  <c r="P53" i="2"/>
  <c r="O53" i="2"/>
  <c r="N53" i="2"/>
  <c r="P52" i="2"/>
  <c r="O52" i="2"/>
  <c r="N52" i="2"/>
  <c r="P51" i="2"/>
  <c r="O51" i="2"/>
  <c r="N51" i="2"/>
  <c r="P50" i="2"/>
  <c r="O50" i="2"/>
  <c r="N50" i="2"/>
  <c r="P49" i="2"/>
  <c r="O49" i="2"/>
  <c r="N49" i="2"/>
  <c r="P48" i="2"/>
  <c r="O48" i="2"/>
  <c r="N48" i="2"/>
  <c r="P47" i="2"/>
  <c r="O47" i="2"/>
  <c r="N47" i="2"/>
  <c r="P46" i="2"/>
  <c r="O46" i="2"/>
  <c r="N46" i="2"/>
  <c r="P45" i="2"/>
  <c r="O45" i="2"/>
  <c r="N45" i="2"/>
  <c r="P44" i="2"/>
  <c r="O44" i="2"/>
  <c r="N44" i="2"/>
  <c r="P43" i="2"/>
  <c r="O43" i="2"/>
  <c r="N43" i="2"/>
  <c r="P42" i="2"/>
  <c r="O42" i="2"/>
  <c r="N42" i="2"/>
  <c r="P41" i="2"/>
  <c r="O41" i="2"/>
  <c r="N41" i="2"/>
  <c r="P40" i="2"/>
  <c r="O40" i="2"/>
  <c r="N40" i="2"/>
  <c r="P39" i="2"/>
  <c r="O39" i="2"/>
  <c r="N39" i="2"/>
  <c r="P38" i="2"/>
  <c r="O38" i="2"/>
  <c r="N38" i="2"/>
  <c r="P37" i="2"/>
  <c r="O37" i="2"/>
  <c r="N37" i="2"/>
  <c r="P36" i="2"/>
  <c r="O36" i="2"/>
  <c r="N36" i="2"/>
  <c r="P35" i="2"/>
  <c r="O35" i="2"/>
  <c r="N35" i="2"/>
  <c r="P34" i="2"/>
  <c r="O34" i="2"/>
  <c r="N34" i="2"/>
  <c r="P33" i="2"/>
  <c r="O33" i="2"/>
  <c r="N33" i="2"/>
  <c r="P32" i="2"/>
  <c r="O32" i="2"/>
  <c r="N32" i="2"/>
  <c r="P31" i="2"/>
  <c r="O31" i="2"/>
  <c r="N31" i="2"/>
  <c r="P30" i="2"/>
  <c r="O30" i="2"/>
  <c r="N30" i="2"/>
  <c r="P29" i="2"/>
  <c r="O29" i="2"/>
  <c r="N29" i="2"/>
  <c r="P28" i="2"/>
  <c r="O28" i="2"/>
  <c r="N28" i="2"/>
  <c r="P27" i="2"/>
  <c r="O27" i="2"/>
  <c r="N27" i="2"/>
  <c r="P26" i="2"/>
  <c r="O26" i="2"/>
  <c r="N26" i="2"/>
  <c r="P25" i="2"/>
  <c r="O25" i="2"/>
  <c r="N25" i="2"/>
  <c r="P23" i="2"/>
  <c r="O23" i="2"/>
  <c r="N23" i="2"/>
  <c r="P22" i="2"/>
  <c r="O22" i="2"/>
  <c r="N22" i="2"/>
  <c r="P21" i="2"/>
  <c r="O21" i="2"/>
  <c r="N21" i="2"/>
  <c r="P20" i="2"/>
  <c r="O20" i="2"/>
  <c r="N20" i="2"/>
  <c r="P18" i="2"/>
  <c r="O18" i="2"/>
  <c r="N18" i="2"/>
  <c r="P17" i="2"/>
  <c r="O17" i="2"/>
  <c r="N17" i="2"/>
  <c r="P16" i="2"/>
  <c r="O16" i="2"/>
  <c r="N16" i="2"/>
  <c r="P15" i="2"/>
  <c r="O15" i="2"/>
  <c r="N15" i="2"/>
  <c r="P14" i="2"/>
  <c r="O14" i="2"/>
  <c r="N14" i="2"/>
  <c r="P12" i="2"/>
  <c r="O12" i="2"/>
  <c r="N12" i="2"/>
  <c r="P11" i="2"/>
  <c r="O11" i="2"/>
  <c r="N11" i="2"/>
  <c r="P10" i="2"/>
  <c r="O10" i="2"/>
  <c r="N10" i="2"/>
  <c r="P9" i="2"/>
  <c r="O9" i="2"/>
  <c r="N9" i="2"/>
  <c r="M6" i="2"/>
  <c r="P6" i="2" l="1"/>
  <c r="N6" i="2"/>
  <c r="O6" i="2"/>
</calcChain>
</file>

<file path=xl/sharedStrings.xml><?xml version="1.0" encoding="utf-8"?>
<sst xmlns="http://schemas.openxmlformats.org/spreadsheetml/2006/main" count="281" uniqueCount="216">
  <si>
    <t>Single Shot</t>
  </si>
  <si>
    <t>Cake</t>
  </si>
  <si>
    <t>Total number of cases</t>
  </si>
  <si>
    <t>Total volume (CBM)</t>
  </si>
  <si>
    <t>Total weight (KG)</t>
  </si>
  <si>
    <t>Total Price</t>
  </si>
  <si>
    <t>No.</t>
  </si>
  <si>
    <t xml:space="preserve"> Caliber
(mm)</t>
  </si>
  <si>
    <t>Shots</t>
  </si>
  <si>
    <t>Series  Description</t>
  </si>
  <si>
    <t>NEW SKU</t>
  </si>
  <si>
    <t>OLD SKU</t>
  </si>
  <si>
    <t>Effect Description</t>
  </si>
  <si>
    <t>Duration
(seconds)</t>
  </si>
  <si>
    <t>PKG</t>
  </si>
  <si>
    <t>CBM</t>
  </si>
  <si>
    <t>GW
(kg)</t>
  </si>
  <si>
    <t>2026 FOB price</t>
  </si>
  <si>
    <t>Your Order Quantity</t>
  </si>
  <si>
    <t>Order Size (cbm)</t>
  </si>
  <si>
    <t>Order Weight
(kg)</t>
  </si>
  <si>
    <t>Price</t>
  </si>
  <si>
    <t>Youtube Link</t>
  </si>
  <si>
    <t>2026 NEW ITEMS</t>
  </si>
  <si>
    <t>10/1</t>
  </si>
  <si>
    <t>Breaking Effects</t>
  </si>
  <si>
    <t>2/1</t>
  </si>
  <si>
    <t>New Effects</t>
  </si>
  <si>
    <t>PCA116</t>
  </si>
  <si>
    <t>16S Gold Willow to Silver Wave w/ Red Strobe/Blue Pearl/Gold Lace/White Lace</t>
  </si>
  <si>
    <t xml:space="preserve">https://youtu.be/aZtfP0Or__s </t>
  </si>
  <si>
    <t>PCA117</t>
  </si>
  <si>
    <t>16S Double Ring Gold Chrys. w/ Blue</t>
  </si>
  <si>
    <t xml:space="preserve">https://youtu.be/UIfHvDXC8jA </t>
  </si>
  <si>
    <t>PCA118</t>
  </si>
  <si>
    <t>16S Gold Willow w/ Red Wave/Green Wave/Purple Wave/Blue Wave</t>
  </si>
  <si>
    <t xml:space="preserve">https://youtu.be/fcL9lzI8_wA </t>
  </si>
  <si>
    <t>Red Whistling</t>
  </si>
  <si>
    <t>PCA125</t>
  </si>
  <si>
    <t>36s Straight Red Whistling To Thunder w/Red Lace</t>
  </si>
  <si>
    <t>4/1</t>
  </si>
  <si>
    <t>https://youtu.be/eX98APT2uTQ</t>
  </si>
  <si>
    <t>2026 COMPOUND CAKES</t>
  </si>
  <si>
    <t>30
25
20</t>
  </si>
  <si>
    <t>COMPOUND CAKES</t>
  </si>
  <si>
    <t>PCA119</t>
  </si>
  <si>
    <r>
      <rPr>
        <b/>
        <sz val="10"/>
        <color theme="1"/>
        <rFont val="Calibri"/>
        <charset val="134"/>
      </rPr>
      <t xml:space="preserve">Cake 1. </t>
    </r>
    <r>
      <rPr>
        <sz val="10"/>
        <color theme="1"/>
        <rFont val="Calibri"/>
        <charset val="134"/>
      </rPr>
      <t xml:space="preserve">66S Mixed Shape, Gold Crown w/ Red and Blue; Gold Crown w/ Red/Blue Palm; Ti-Gold Willow w/ Red and Blue; Gold Palm w/ Blue/White and Red Strobe; Gold Crown w/ Red Tip Spiders
</t>
    </r>
    <r>
      <rPr>
        <b/>
        <sz val="10"/>
        <color theme="1"/>
        <rFont val="Calibri"/>
        <charset val="134"/>
      </rPr>
      <t>Cake 2.</t>
    </r>
    <r>
      <rPr>
        <sz val="10"/>
        <color theme="1"/>
        <rFont val="Calibri"/>
        <charset val="134"/>
      </rPr>
      <t xml:space="preserve"> 66S Mixed Shape, Red Whistle Tail to Chrys. and Blue,Green Whistle Tail to Gold Chrys. w/ Red Strobe; Gold Palm to Silver Palm w/ Red and Green Strobe; Gold Willow to Red Blue Orange; Red to Brocade Crown w/White Strobe; Green to Brocade Crown w/Red Strobe; Blue to Brocade Crown w/Gold Strobe; Gold Palm to Silver Palm+Gold Chrys.
</t>
    </r>
    <r>
      <rPr>
        <b/>
        <sz val="10"/>
        <color theme="1"/>
        <rFont val="Calibri"/>
        <charset val="134"/>
      </rPr>
      <t xml:space="preserve">Cake 3. </t>
    </r>
    <r>
      <rPr>
        <sz val="10"/>
        <color theme="1"/>
        <rFont val="Calibri"/>
        <charset val="134"/>
      </rPr>
      <t>66S Mixed Shape, Gold Scattering w/ Blue Mine,Silver Scattering w/ Peach Mine</t>
    </r>
    <r>
      <rPr>
        <sz val="10"/>
        <color theme="1"/>
        <rFont val="宋体"/>
        <charset val="134"/>
      </rPr>
      <t>；</t>
    </r>
    <r>
      <rPr>
        <sz val="10"/>
        <color theme="1"/>
        <rFont val="Calibri"/>
        <charset val="134"/>
      </rPr>
      <t xml:space="preserve">Brocade Crown+Red /Green Palm; Flower Crown w/ Red/Green/Sky Blue/Yellow; Red Tip Flower Wave+Blue w/ White Strobe; Green Tip Flower Wave+Blue w/ Red Strobe; Purple Tip Flower Wave+Blue w/ Green Strobe; Golden Pine and Crackle.
</t>
    </r>
    <r>
      <rPr>
        <b/>
        <sz val="10"/>
        <color theme="1"/>
        <rFont val="Calibri"/>
        <charset val="134"/>
      </rPr>
      <t>Cake 4.</t>
    </r>
    <r>
      <rPr>
        <sz val="10"/>
        <color theme="1"/>
        <rFont val="Calibri"/>
        <charset val="134"/>
      </rPr>
      <t xml:space="preserve"> 66S Mixed Shape, Red/Green Crossette;Gold Willow to Red Lace/White Lace; Gold Scattering w/ Red Green Blue; Silver Scattering w/ Red/Green/Gold Strobe; Gold Palm+Red/ Green/Blue Moving Fireflies w/ Green/Red/Gold Strobe; Gold Spider w/ Sky Blue;
</t>
    </r>
  </si>
  <si>
    <t>1/4</t>
  </si>
  <si>
    <t xml:space="preserve">https://youtu.be/E73YafIoW-g </t>
  </si>
  <si>
    <t>50
25</t>
  </si>
  <si>
    <t>PCA120</t>
  </si>
  <si>
    <r>
      <rPr>
        <b/>
        <sz val="10"/>
        <color theme="1"/>
        <rFont val="Calibri"/>
        <charset val="134"/>
      </rPr>
      <t>Cake 1.</t>
    </r>
    <r>
      <rPr>
        <sz val="10"/>
        <color theme="1"/>
        <rFont val="Calibri"/>
        <charset val="134"/>
      </rPr>
      <t xml:space="preserve"> 16S Gold Willow Tail to Flower Crown+Blue/Green/Purple
</t>
    </r>
    <r>
      <rPr>
        <b/>
        <sz val="10"/>
        <color theme="1"/>
        <rFont val="Calibri"/>
        <charset val="134"/>
      </rPr>
      <t xml:space="preserve">Cake 2. </t>
    </r>
    <r>
      <rPr>
        <sz val="10"/>
        <color theme="1"/>
        <rFont val="Calibri"/>
        <charset val="134"/>
      </rPr>
      <t xml:space="preserve">16S Gold Willow to Silver Wave w/ Red Strobe/Blue/Gold Lace/White Lace
</t>
    </r>
    <r>
      <rPr>
        <b/>
        <sz val="10"/>
        <color theme="1"/>
        <rFont val="Calibri"/>
        <charset val="134"/>
      </rPr>
      <t xml:space="preserve">Cake 3. </t>
    </r>
    <r>
      <rPr>
        <sz val="10"/>
        <color theme="1"/>
        <rFont val="Calibri"/>
        <charset val="134"/>
      </rPr>
      <t xml:space="preserve">36S Red Howling Tail to Red Lace/Salute
</t>
    </r>
    <r>
      <rPr>
        <b/>
        <sz val="10"/>
        <color theme="1"/>
        <rFont val="Calibri"/>
        <charset val="134"/>
      </rPr>
      <t xml:space="preserve">Cake 4. </t>
    </r>
    <r>
      <rPr>
        <sz val="10"/>
        <color theme="1"/>
        <rFont val="Calibri"/>
        <charset val="134"/>
      </rPr>
      <t>36S Silver Howling Tail to Brocade Crown w/ Blue and Green Strobe;Silver Howling Tail to Salute</t>
    </r>
  </si>
  <si>
    <t xml:space="preserve">https://youtu.be/ELuKcT0WrEM </t>
  </si>
  <si>
    <t>PCA121</t>
  </si>
  <si>
    <r>
      <rPr>
        <b/>
        <sz val="10"/>
        <color theme="1"/>
        <rFont val="Calibri"/>
        <charset val="134"/>
      </rPr>
      <t>Cake 1.</t>
    </r>
    <r>
      <rPr>
        <sz val="10"/>
        <color theme="1"/>
        <rFont val="Calibri"/>
        <charset val="134"/>
      </rPr>
      <t xml:space="preserve"> 49S Straight Brocade Crown w/ Blue Mine to Brocade Crown and Blue
</t>
    </r>
    <r>
      <rPr>
        <b/>
        <sz val="10"/>
        <color theme="1"/>
        <rFont val="Calibri"/>
        <charset val="134"/>
      </rPr>
      <t xml:space="preserve">Cake 2. </t>
    </r>
    <r>
      <rPr>
        <sz val="10"/>
        <color theme="1"/>
        <rFont val="Calibri"/>
        <charset val="134"/>
      </rPr>
      <t xml:space="preserve">81S Ti-Gold Willow to Blue and Color Falling Leaves Alternate
</t>
    </r>
    <r>
      <rPr>
        <b/>
        <sz val="10"/>
        <color theme="1"/>
        <rFont val="Calibri"/>
        <charset val="134"/>
      </rPr>
      <t>Cake 3.</t>
    </r>
    <r>
      <rPr>
        <sz val="10"/>
        <color theme="1"/>
        <rFont val="Calibri"/>
        <charset val="134"/>
      </rPr>
      <t xml:space="preserve"> 49S Straight Blue Tail to Nishiki and Red/Blue
</t>
    </r>
    <r>
      <rPr>
        <b/>
        <sz val="10"/>
        <color theme="1"/>
        <rFont val="Calibri"/>
        <charset val="134"/>
      </rPr>
      <t xml:space="preserve">Cake 4. </t>
    </r>
    <r>
      <rPr>
        <sz val="10"/>
        <color theme="1"/>
        <rFont val="Calibri"/>
        <charset val="134"/>
      </rPr>
      <t>81S Brocade Crown Tail to Brocade Crown and Red Blue</t>
    </r>
  </si>
  <si>
    <t xml:space="preserve">https://youtu.be/Fuc-_DK5sL0 </t>
  </si>
  <si>
    <t>25
20</t>
  </si>
  <si>
    <t>PCA122</t>
  </si>
  <si>
    <r>
      <rPr>
        <b/>
        <sz val="10"/>
        <color theme="1"/>
        <rFont val="Calibri"/>
        <charset val="134"/>
      </rPr>
      <t xml:space="preserve">Cake 1. </t>
    </r>
    <r>
      <rPr>
        <sz val="10"/>
        <color theme="1"/>
        <rFont val="Calibri"/>
        <charset val="134"/>
      </rPr>
      <t xml:space="preserve">49S Straight Blue Moving Star
</t>
    </r>
    <r>
      <rPr>
        <b/>
        <sz val="10"/>
        <color theme="1"/>
        <rFont val="Calibri"/>
        <charset val="134"/>
      </rPr>
      <t xml:space="preserve">Cake 2. </t>
    </r>
    <r>
      <rPr>
        <sz val="10"/>
        <color theme="1"/>
        <rFont val="Calibri"/>
        <charset val="134"/>
      </rPr>
      <t xml:space="preserve">49S Straight Brocade Crown w/ Blue Mine to Brocade Crown and Blue
</t>
    </r>
    <r>
      <rPr>
        <b/>
        <sz val="10"/>
        <color theme="1"/>
        <rFont val="Calibri"/>
        <charset val="134"/>
      </rPr>
      <t>Cake 3.</t>
    </r>
    <r>
      <rPr>
        <sz val="10"/>
        <color theme="1"/>
        <rFont val="Calibri"/>
        <charset val="134"/>
      </rPr>
      <t xml:space="preserve"> 49S Straight Red Moving Star
</t>
    </r>
    <r>
      <rPr>
        <b/>
        <sz val="10"/>
        <color theme="1"/>
        <rFont val="Calibri"/>
        <charset val="134"/>
      </rPr>
      <t>Cake 4.</t>
    </r>
    <r>
      <rPr>
        <sz val="10"/>
        <color theme="1"/>
        <rFont val="Calibri"/>
        <charset val="134"/>
      </rPr>
      <t xml:space="preserve"> 49S Straight Brocade Crown w/ Blue Mine to Brocade Crown and Blue
</t>
    </r>
    <r>
      <rPr>
        <b/>
        <sz val="10"/>
        <color theme="1"/>
        <rFont val="Calibri"/>
        <charset val="134"/>
      </rPr>
      <t>Cake 5.</t>
    </r>
    <r>
      <rPr>
        <sz val="10"/>
        <color theme="1"/>
        <rFont val="Calibri"/>
        <charset val="134"/>
      </rPr>
      <t xml:space="preserve"> 49S Straight Blue Tail to Nishiki and Red/Blue
</t>
    </r>
    <r>
      <rPr>
        <b/>
        <sz val="10"/>
        <color theme="1"/>
        <rFont val="Calibri"/>
        <charset val="134"/>
      </rPr>
      <t>Cake 6.</t>
    </r>
    <r>
      <rPr>
        <sz val="10"/>
        <color theme="1"/>
        <rFont val="Calibri"/>
        <charset val="134"/>
      </rPr>
      <t xml:space="preserve"> 49S White Strobe Comet to Red/Blue Crossette
</t>
    </r>
    <r>
      <rPr>
        <b/>
        <sz val="10"/>
        <color theme="1"/>
        <rFont val="Calibri"/>
        <charset val="134"/>
      </rPr>
      <t xml:space="preserve">Cake 7. </t>
    </r>
    <r>
      <rPr>
        <sz val="10"/>
        <color theme="1"/>
        <rFont val="Calibri"/>
        <charset val="134"/>
      </rPr>
      <t>49S Straight Blue Tail to Nishiki and Red/Blue</t>
    </r>
  </si>
  <si>
    <t>1/7</t>
  </si>
  <si>
    <t xml:space="preserve">https://youtu.be/yrEV4L5Lp68 </t>
  </si>
  <si>
    <t>PCA123</t>
  </si>
  <si>
    <r>
      <rPr>
        <b/>
        <sz val="10"/>
        <color theme="1"/>
        <rFont val="Calibri"/>
        <charset val="134"/>
      </rPr>
      <t xml:space="preserve">Cake 1. </t>
    </r>
    <r>
      <rPr>
        <sz val="10"/>
        <color theme="1"/>
        <rFont val="Calibri"/>
        <charset val="134"/>
      </rPr>
      <t xml:space="preserve">49S Brocade Crown Tail to Golden Pine and Red Moving Fireflies/Green Moving Fireflies/Blue Moving Fireflies
</t>
    </r>
    <r>
      <rPr>
        <b/>
        <sz val="10"/>
        <color theme="1"/>
        <rFont val="Calibri"/>
        <charset val="134"/>
      </rPr>
      <t>Cake 2.</t>
    </r>
    <r>
      <rPr>
        <sz val="10"/>
        <color theme="1"/>
        <rFont val="Calibri"/>
        <charset val="134"/>
      </rPr>
      <t xml:space="preserve"> 49S Red/Green/Blue/Lemon/Purple/Orange Crossette
</t>
    </r>
    <r>
      <rPr>
        <b/>
        <sz val="10"/>
        <color theme="1"/>
        <rFont val="Calibri"/>
        <charset val="134"/>
      </rPr>
      <t>Cake 3.</t>
    </r>
    <r>
      <rPr>
        <sz val="10"/>
        <color theme="1"/>
        <rFont val="Calibri"/>
        <charset val="134"/>
      </rPr>
      <t xml:space="preserve"> 49S S Shape Glow Grass Glittering Tail to Glow Grass Glittering and Red/Green/Blue
</t>
    </r>
    <r>
      <rPr>
        <b/>
        <sz val="10"/>
        <color theme="1"/>
        <rFont val="Calibri"/>
        <charset val="134"/>
      </rPr>
      <t xml:space="preserve">Cake 4. </t>
    </r>
    <r>
      <rPr>
        <sz val="10"/>
        <color theme="1"/>
        <rFont val="Calibri"/>
        <charset val="134"/>
      </rPr>
      <t>49S Brocade Crown Mine to Brocade Crown</t>
    </r>
  </si>
  <si>
    <t xml:space="preserve">https://youtu.be/44I1Rk9sZj8 </t>
  </si>
  <si>
    <t>Hot Seller</t>
  </si>
  <si>
    <t/>
  </si>
  <si>
    <t>5/1</t>
  </si>
  <si>
    <t>PSC167</t>
  </si>
  <si>
    <t>9S Gold Willow to Red Lace w/ Red Tail</t>
  </si>
  <si>
    <t>https://youtu.be/tcGUzNBC1Zo</t>
  </si>
  <si>
    <t>PSC168</t>
  </si>
  <si>
    <t>9S Gold Scattering w/ Gold Crackle w/ Gold Tail</t>
  </si>
  <si>
    <t>https://youtu.be/UDjoAkURwx8</t>
  </si>
  <si>
    <t>PSC169</t>
  </si>
  <si>
    <t>9S Meteor Shower</t>
  </si>
  <si>
    <t>https://youtu.be/ZTQZibBe4pU</t>
  </si>
  <si>
    <t>3-Layer Mine  12S</t>
  </si>
  <si>
    <t>PSC120</t>
  </si>
  <si>
    <t>WPL30SC12-01-CCC</t>
  </si>
  <si>
    <t>Triple Layer Timerain Crackle</t>
  </si>
  <si>
    <t>https://youtu.be/6gZ_E1RXuXs</t>
  </si>
  <si>
    <t>1/1</t>
  </si>
  <si>
    <t>Straight 225S</t>
  </si>
  <si>
    <t>PCA004</t>
  </si>
  <si>
    <t>WPL14CA225-01-A</t>
  </si>
  <si>
    <t>225S Straight Salute w/ Color Tails</t>
  </si>
  <si>
    <t>https://youtu.be/L0FXQGEB1X4</t>
  </si>
  <si>
    <t>Zigzag Fan 225S</t>
  </si>
  <si>
    <t>PCA008</t>
  </si>
  <si>
    <t>WPL16CA225-01-B</t>
  </si>
  <si>
    <t>Z Shape  Red/ Green/ Blue To Timerain</t>
  </si>
  <si>
    <t>https://youtu.be/ZwRSbHvbb34</t>
  </si>
  <si>
    <t>PCA009</t>
  </si>
  <si>
    <t>WPL16CA225-01-D</t>
  </si>
  <si>
    <t>Z Shape  Gold Strobe Willow Tail &amp; Blue</t>
  </si>
  <si>
    <t>https://youtu.be/p1ZvV9E5q1g</t>
  </si>
  <si>
    <t>X Fan 225S</t>
  </si>
  <si>
    <t>PCA010</t>
  </si>
  <si>
    <t>WPL16CA225-02-A</t>
  </si>
  <si>
    <t>X Shape  Rainbow Tails</t>
  </si>
  <si>
    <t>https://youtu.be/DzsfOOy6mEs</t>
  </si>
  <si>
    <t>Fan Cake 225S</t>
  </si>
  <si>
    <t>PCA011</t>
  </si>
  <si>
    <t>WPL16CA225-03-A</t>
  </si>
  <si>
    <t>Fan Shape  Brocade Tail &amp; Blue</t>
  </si>
  <si>
    <t>https://youtu.be/rPfhoRFt4D0</t>
  </si>
  <si>
    <t>Curtain Fan 225S</t>
  </si>
  <si>
    <t>PCA012</t>
  </si>
  <si>
    <t>WPL16CA225-04-A</t>
  </si>
  <si>
    <t>Green Strobe Tail With Purple Tip</t>
  </si>
  <si>
    <t>https://youtu.be/x2D2b565o98</t>
  </si>
  <si>
    <t>Long Duration Mix</t>
  </si>
  <si>
    <t>PCA042</t>
  </si>
  <si>
    <t>WPL20CA66-01-A</t>
  </si>
  <si>
    <t xml:space="preserve">66S Mixed Effects: Red Wave with White Strobe, Silver Wave with Red Strobe, Red, Sky Blue with White Strobe, Blue with Red/White Strobe, White Strobe Willow with Red/Green/Blue/Yellow, Red Strobe Willow with Green/Lemon/Brocade Crown and Red+ White Strobe, Brocade Crown with Blue and Red Strobe, Timerain Willow with Sky Blue and Red Strobe </t>
  </si>
  <si>
    <t>https://youtu.be/M7C6YvyBQmg</t>
  </si>
  <si>
    <t>Zigzag Fan 81S</t>
  </si>
  <si>
    <t>PCA061</t>
  </si>
  <si>
    <t>WPL25CA81-01-B</t>
  </si>
  <si>
    <t>Z Shape Silver Whirl Tail To Blue &amp; Red Lace</t>
  </si>
  <si>
    <t>https://youtu.be/LTEroSLWspk</t>
  </si>
  <si>
    <t>PCA062</t>
  </si>
  <si>
    <t>WPL25CA81-01-C</t>
  </si>
  <si>
    <t>81S Z Shape Blue Tail to Nishiki Willow w/ Color Pearls</t>
  </si>
  <si>
    <t>https://youtu.be/PJwdBkXNxqU</t>
  </si>
  <si>
    <t>Fan 81S</t>
  </si>
  <si>
    <t>PCA064</t>
  </si>
  <si>
    <t>WPL25CA81-01-D</t>
  </si>
  <si>
    <t>81S Fan Shape Nishiki Willow w/ Color Falling Leaves</t>
  </si>
  <si>
    <t>https://youtu.be/umZM9qXOnjM</t>
  </si>
  <si>
    <t>PCA066</t>
  </si>
  <si>
    <t>WPL25CA81-01-E</t>
  </si>
  <si>
    <t>81S Z Shape Brocade Crown w/ Color Falling Leaves</t>
  </si>
  <si>
    <t>https://youtu.be/OtlEaMxudzA</t>
  </si>
  <si>
    <t>Peacock 81S</t>
  </si>
  <si>
    <t>PCA067</t>
  </si>
  <si>
    <t>WPL25CA81-02-A</t>
  </si>
  <si>
    <t>X Shape Red/Green/Blue Tail To White Strobe With Green/Purple/Orange Dahlias</t>
  </si>
  <si>
    <t>https://youtu.be/6VR-ubQtFlc</t>
  </si>
  <si>
    <t>W Shape 81S</t>
  </si>
  <si>
    <t>PCA106</t>
  </si>
  <si>
    <t xml:space="preserve">81S W Shape Brocade Tail to Brocade Crown w/ Red and Blue </t>
  </si>
  <si>
    <t>https://youtu.be/GPe_ZWQ9ANQ</t>
  </si>
  <si>
    <t>PCA107</t>
  </si>
  <si>
    <t>81S W Shape Gold Willow Tail to Silver Spider w/ Gold Scattering</t>
  </si>
  <si>
    <t>https://youtu.be/-IGw8hNrWy8</t>
  </si>
  <si>
    <t>PCA108</t>
  </si>
  <si>
    <t>81S W Shape Red Tail to Gold Willow to Red Lace</t>
  </si>
  <si>
    <t>https://youtu.be/f8_xKO6RSVY</t>
  </si>
  <si>
    <t>Straight Break 49S</t>
  </si>
  <si>
    <t>PCA057</t>
  </si>
  <si>
    <t>WPL25CA49-01-A</t>
  </si>
  <si>
    <t>Straight Brocade Mine To Brocade Crown</t>
  </si>
  <si>
    <t>https://youtu.be/f-TXX5F9aF8</t>
  </si>
  <si>
    <t>PCA058</t>
  </si>
  <si>
    <t>WPL25CA49-01-B</t>
  </si>
  <si>
    <t>Straight Blue Tail To Flower Crown With Red/ Blue</t>
  </si>
  <si>
    <t>https://youtu.be/dxgKmvZx3E4</t>
  </si>
  <si>
    <t>Straight Whistle King 36S</t>
  </si>
  <si>
    <t>PCA054</t>
  </si>
  <si>
    <t>WPL25CA36-01-A</t>
  </si>
  <si>
    <t>Straight Whistling To Thunder</t>
  </si>
  <si>
    <t>https://youtu.be/2mTKaNKSH2E</t>
  </si>
  <si>
    <t>Zigzag Fan 30S</t>
  </si>
  <si>
    <t>PCA044</t>
  </si>
  <si>
    <t>WPL25CA30-01-A</t>
  </si>
  <si>
    <t>Z Shape Red Strobe Tail To Thunder</t>
  </si>
  <si>
    <t>https://youtu.be/dl8UDXbZG0k</t>
  </si>
  <si>
    <t>PCA045</t>
  </si>
  <si>
    <t>WPL25CA30-01-B</t>
  </si>
  <si>
    <t>Z Shape Brocade Tail To Brocade With Green Strobe</t>
  </si>
  <si>
    <t>https://youtu.be/5--aCcQWHUg</t>
  </si>
  <si>
    <t>Fan Shape Color Changing Effects 42S</t>
  </si>
  <si>
    <t>PCA101</t>
  </si>
  <si>
    <t>42S Fan Shape Blue to Red strobe w/ Blue to Red Strobe Mine</t>
  </si>
  <si>
    <t>https://youtu.be/I0NGf5Z-Ktg</t>
  </si>
  <si>
    <t>Fan Shape Break With Mine 49S</t>
  </si>
  <si>
    <t>PCA073</t>
  </si>
  <si>
    <t>WPL30CA49-01-A</t>
  </si>
  <si>
    <t>Fan Shape Brocade Mine To Brocade</t>
  </si>
  <si>
    <t>https://youtu.be/BlJzXGCftPk</t>
  </si>
  <si>
    <t>Zigzag Spitting 49S</t>
  </si>
  <si>
    <t>PCA077</t>
  </si>
  <si>
    <t>WPL30CA49-02-C</t>
  </si>
  <si>
    <t>49S Z Shape Gold Horse Tail w/ Blue Pearls</t>
  </si>
  <si>
    <t>https://youtu.be/O16WqIP8E-Y</t>
  </si>
  <si>
    <t>PCA086</t>
  </si>
  <si>
    <t>WPL30CA49-04-F</t>
  </si>
  <si>
    <t>49S Straight Brocade Tail to Gold Pine with Red/Green/Blue</t>
  </si>
  <si>
    <t>https://youtu.be/bQqnWB1Jm6M</t>
  </si>
  <si>
    <t>PCA087</t>
  </si>
  <si>
    <t>WPL30CA49-04-G</t>
  </si>
  <si>
    <t>49S Straight Nishiki Willow with Gold Rain</t>
  </si>
  <si>
    <t>https://youtu.be/9B95az9cZ54</t>
  </si>
  <si>
    <t>PCA088</t>
  </si>
  <si>
    <t>WPL30CA49-04-H</t>
  </si>
  <si>
    <t>49S Straight Gold to Brocade w/ Teal/Purple/Orange/Blue Dahlia</t>
  </si>
  <si>
    <t>https://youtu.be/D05XUXPv9oQ</t>
  </si>
  <si>
    <t>PCA095</t>
  </si>
  <si>
    <t>WPL30CA49-07-A</t>
  </si>
  <si>
    <t>49S Straight Gold Glittering Tail to Glittering Crossette</t>
  </si>
  <si>
    <t>https://youtu.be/0AR0epCPOKo</t>
  </si>
  <si>
    <t>PCA081</t>
  </si>
  <si>
    <t>WPL30CA49-04-A</t>
  </si>
  <si>
    <t>Straight Gold Crackling Tail To Ti-Gold Palm With Green Strobe Blue Pistil</t>
  </si>
  <si>
    <t>https://youtu.be/7MnRHqkTgTw</t>
  </si>
  <si>
    <t>PCA082</t>
  </si>
  <si>
    <t>WPL30CA49-04-B</t>
  </si>
  <si>
    <t xml:space="preserve">Straight Green Strobe Mine Red Tail To Time Rain Willow With Red Strobe </t>
  </si>
  <si>
    <t>https://youtu.be/WaachXZ5Fy0</t>
  </si>
  <si>
    <t>50mm Ball Shell 16S</t>
  </si>
  <si>
    <t>PCA099</t>
  </si>
  <si>
    <t>WPL50CA16-01-C</t>
  </si>
  <si>
    <t>16S Brocade Crown w/ Color Falling Leaves</t>
  </si>
  <si>
    <t>https://youtu.be/zxXcpe_KLDU</t>
  </si>
  <si>
    <t>Bulk 60g Canisters  (no tubes)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</si>
</sst>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\$#,##0.00_);[Red]\(\$#,##0.00\)"/>
    <numFmt numFmtId="165" formatCode="0.0"/>
    <numFmt numFmtId="166" formatCode="[$$-409]#,##0.00"/>
    <numFmt numFmtId="167" formatCode="0_ "/>
    <numFmt numFmtId="168" formatCode="0.0_);[Red]\(0.0\)"/>
    <numFmt numFmtId="169" formatCode="\$#,##0.00;\-\$#,##0.00"/>
    <numFmt numFmtId="170" formatCode="0.000_);[Red]\(0.000\)"/>
    <numFmt numFmtId="171" formatCode="0_);[Red]\(0\)"/>
    <numFmt numFmtId="172" formatCode="0.000_ "/>
    <numFmt numFmtId="173" formatCode="#,##0.000_ 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charset val="134"/>
      <scheme val="minor"/>
    </font>
    <font>
      <sz val="10"/>
      <color theme="1"/>
      <name val="Calibri"/>
      <charset val="134"/>
    </font>
    <font>
      <sz val="11"/>
      <color rgb="FF0070C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</font>
    <font>
      <sz val="10"/>
      <name val="Calibri"/>
      <charset val="134"/>
    </font>
    <font>
      <b/>
      <sz val="11"/>
      <name val="Calibri"/>
      <charset val="134"/>
    </font>
    <font>
      <b/>
      <sz val="11"/>
      <name val="Calibri"/>
      <charset val="134"/>
      <scheme val="minor"/>
    </font>
    <font>
      <b/>
      <sz val="10"/>
      <name val="Calibri"/>
      <charset val="134"/>
    </font>
    <font>
      <b/>
      <sz val="12"/>
      <color theme="1"/>
      <name val="Calibri"/>
      <charset val="134"/>
      <scheme val="minor"/>
    </font>
    <font>
      <b/>
      <sz val="12"/>
      <color theme="1"/>
      <name val="等线"/>
      <charset val="134"/>
    </font>
    <font>
      <sz val="12"/>
      <color theme="1"/>
      <name val="Calibri"/>
      <charset val="134"/>
    </font>
    <font>
      <b/>
      <sz val="10"/>
      <color theme="1"/>
      <name val="Calibri"/>
      <charset val="134"/>
    </font>
    <font>
      <u/>
      <sz val="11"/>
      <color theme="10"/>
      <name val="Calibri"/>
      <charset val="134"/>
      <scheme val="minor"/>
    </font>
    <font>
      <sz val="9"/>
      <name val="Calibri"/>
      <charset val="134"/>
    </font>
    <font>
      <b/>
      <sz val="10"/>
      <color rgb="FFFF0000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70C0"/>
      <name val="Calibri"/>
      <charset val="134"/>
      <scheme val="minor"/>
    </font>
    <font>
      <u/>
      <sz val="12"/>
      <color rgb="FF0070C0"/>
      <name val="Calibri"/>
      <charset val="134"/>
      <scheme val="minor"/>
    </font>
    <font>
      <sz val="12"/>
      <color rgb="FFFF0000"/>
      <name val="Calibri"/>
      <charset val="134"/>
      <scheme val="minor"/>
    </font>
    <font>
      <sz val="11"/>
      <name val="Calibri"/>
      <charset val="134"/>
      <scheme val="minor"/>
    </font>
    <font>
      <sz val="12"/>
      <name val="Calibri"/>
      <charset val="134"/>
    </font>
    <font>
      <b/>
      <sz val="12"/>
      <name val="Calibri"/>
      <charset val="134"/>
    </font>
    <font>
      <sz val="12"/>
      <color rgb="FF0070C0"/>
      <name val="Calibri"/>
      <charset val="134"/>
      <scheme val="minor"/>
    </font>
    <font>
      <sz val="10"/>
      <color theme="1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0" fontId="15" fillId="0" borderId="0" applyNumberFormat="0" applyFill="0" applyBorder="0" applyAlignment="0" applyProtection="0"/>
    <xf numFmtId="0" fontId="1" fillId="0" borderId="0"/>
  </cellStyleXfs>
  <cellXfs count="122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165" fontId="0" fillId="0" borderId="0" xfId="0" applyNumberFormat="1"/>
    <xf numFmtId="0" fontId="3" fillId="0" borderId="0" xfId="0" applyFon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167" fontId="6" fillId="0" borderId="0" xfId="0" applyNumberFormat="1" applyFont="1" applyAlignment="1">
      <alignment horizontal="left" vertical="center"/>
    </xf>
    <xf numFmtId="167" fontId="6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168" fontId="6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1" fillId="2" borderId="0" xfId="0" applyFont="1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169" fontId="3" fillId="0" borderId="3" xfId="0" applyNumberFormat="1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169" fontId="3" fillId="0" borderId="8" xfId="0" applyNumberFormat="1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vertical="center" wrapText="1"/>
    </xf>
    <xf numFmtId="169" fontId="13" fillId="2" borderId="6" xfId="0" applyNumberFormat="1" applyFont="1" applyFill="1" applyBorder="1" applyAlignment="1">
      <alignment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169" fontId="3" fillId="0" borderId="5" xfId="0" applyNumberFormat="1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165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70" fontId="6" fillId="0" borderId="0" xfId="0" applyNumberFormat="1" applyFont="1" applyAlignment="1">
      <alignment horizontal="center" vertical="center"/>
    </xf>
    <xf numFmtId="168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top" wrapText="1"/>
    </xf>
    <xf numFmtId="165" fontId="6" fillId="0" borderId="0" xfId="0" applyNumberFormat="1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2" borderId="0" xfId="0" applyFont="1" applyFill="1" applyAlignment="1">
      <alignment vertical="top"/>
    </xf>
    <xf numFmtId="165" fontId="6" fillId="2" borderId="0" xfId="0" applyNumberFormat="1" applyFont="1" applyFill="1" applyAlignment="1">
      <alignment vertical="top" wrapText="1"/>
    </xf>
    <xf numFmtId="0" fontId="8" fillId="2" borderId="0" xfId="0" applyFont="1" applyFill="1" applyAlignment="1">
      <alignment horizontal="right" vertical="center"/>
    </xf>
    <xf numFmtId="171" fontId="16" fillId="2" borderId="17" xfId="0" applyNumberFormat="1" applyFont="1" applyFill="1" applyBorder="1" applyAlignment="1">
      <alignment horizontal="center" vertical="center" wrapText="1"/>
    </xf>
    <xf numFmtId="170" fontId="16" fillId="2" borderId="18" xfId="0" applyNumberFormat="1" applyFont="1" applyFill="1" applyBorder="1" applyAlignment="1">
      <alignment horizontal="center" vertical="center"/>
    </xf>
    <xf numFmtId="165" fontId="16" fillId="2" borderId="19" xfId="0" applyNumberFormat="1" applyFont="1" applyFill="1" applyBorder="1" applyAlignment="1">
      <alignment horizontal="center" vertical="center"/>
    </xf>
    <xf numFmtId="166" fontId="16" fillId="2" borderId="20" xfId="0" applyNumberFormat="1" applyFont="1" applyFill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172" fontId="10" fillId="0" borderId="3" xfId="0" applyNumberFormat="1" applyFont="1" applyBorder="1" applyAlignment="1">
      <alignment horizontal="center" vertical="center"/>
    </xf>
    <xf numFmtId="165" fontId="10" fillId="0" borderId="3" xfId="0" applyNumberFormat="1" applyFont="1" applyBorder="1" applyAlignment="1">
      <alignment horizontal="center" vertical="center" wrapText="1"/>
    </xf>
    <xf numFmtId="164" fontId="10" fillId="0" borderId="3" xfId="0" applyNumberFormat="1" applyFont="1" applyBorder="1" applyAlignment="1">
      <alignment horizontal="center" vertical="center" wrapText="1"/>
    </xf>
    <xf numFmtId="168" fontId="17" fillId="0" borderId="5" xfId="0" applyNumberFormat="1" applyFont="1" applyBorder="1" applyAlignment="1">
      <alignment horizontal="center" vertical="center" wrapText="1"/>
    </xf>
    <xf numFmtId="168" fontId="10" fillId="0" borderId="5" xfId="0" applyNumberFormat="1" applyFont="1" applyBorder="1" applyAlignment="1">
      <alignment horizontal="center" vertical="center" wrapText="1"/>
    </xf>
    <xf numFmtId="165" fontId="10" fillId="0" borderId="7" xfId="0" applyNumberFormat="1" applyFont="1" applyBorder="1" applyAlignment="1">
      <alignment horizontal="center" vertical="center" wrapText="1"/>
    </xf>
    <xf numFmtId="166" fontId="10" fillId="0" borderId="5" xfId="0" applyNumberFormat="1" applyFont="1" applyBorder="1" applyAlignment="1">
      <alignment horizontal="center" vertical="center"/>
    </xf>
    <xf numFmtId="165" fontId="0" fillId="2" borderId="0" xfId="0" applyNumberFormat="1" applyFill="1"/>
    <xf numFmtId="0" fontId="0" fillId="2" borderId="0" xfId="0" applyFill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9" fontId="3" fillId="0" borderId="3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173" fontId="18" fillId="0" borderId="3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6" fontId="18" fillId="0" borderId="3" xfId="0" applyNumberFormat="1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49" fontId="13" fillId="2" borderId="6" xfId="0" applyNumberFormat="1" applyFont="1" applyFill="1" applyBorder="1" applyAlignment="1">
      <alignment horizontal="center" vertical="center"/>
    </xf>
    <xf numFmtId="165" fontId="13" fillId="2" borderId="6" xfId="0" applyNumberFormat="1" applyFont="1" applyFill="1" applyBorder="1" applyAlignment="1">
      <alignment horizontal="center" vertical="center"/>
    </xf>
    <xf numFmtId="169" fontId="13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 wrapText="1"/>
    </xf>
    <xf numFmtId="169" fontId="3" fillId="0" borderId="5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5" fontId="2" fillId="2" borderId="0" xfId="0" applyNumberFormat="1" applyFont="1" applyFill="1" applyAlignment="1">
      <alignment vertical="center"/>
    </xf>
    <xf numFmtId="49" fontId="3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9" fillId="0" borderId="0" xfId="1" applyFont="1" applyBorder="1" applyAlignment="1">
      <alignment vertical="center"/>
    </xf>
    <xf numFmtId="0" fontId="20" fillId="0" borderId="0" xfId="1" applyFont="1" applyBorder="1" applyAlignment="1">
      <alignment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11" fillId="2" borderId="2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 wrapText="1"/>
    </xf>
    <xf numFmtId="0" fontId="7" fillId="0" borderId="3" xfId="0" applyFont="1" applyBorder="1" applyAlignment="1">
      <alignment horizontal="center" vertical="center"/>
    </xf>
    <xf numFmtId="165" fontId="7" fillId="0" borderId="3" xfId="0" applyNumberFormat="1" applyFont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165" fontId="23" fillId="2" borderId="6" xfId="0" applyNumberFormat="1" applyFont="1" applyFill="1" applyBorder="1" applyAlignment="1">
      <alignment horizontal="center" vertical="center"/>
    </xf>
    <xf numFmtId="0" fontId="19" fillId="0" borderId="0" xfId="1" applyFont="1" applyFill="1" applyBorder="1" applyAlignment="1">
      <alignment vertical="center"/>
    </xf>
    <xf numFmtId="0" fontId="24" fillId="2" borderId="6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vertical="center" wrapText="1"/>
    </xf>
    <xf numFmtId="0" fontId="22" fillId="0" borderId="0" xfId="0" applyFont="1"/>
    <xf numFmtId="165" fontId="22" fillId="0" borderId="0" xfId="0" applyNumberFormat="1" applyFont="1"/>
    <xf numFmtId="0" fontId="25" fillId="0" borderId="0" xfId="0" applyFont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5" fillId="0" borderId="0" xfId="1" applyBorder="1" applyAlignment="1">
      <alignment vertical="center"/>
    </xf>
    <xf numFmtId="0" fontId="15" fillId="0" borderId="0" xfId="1" applyFill="1" applyBorder="1" applyAlignment="1">
      <alignment vertical="center"/>
    </xf>
    <xf numFmtId="165" fontId="8" fillId="2" borderId="11" xfId="0" applyNumberFormat="1" applyFont="1" applyFill="1" applyBorder="1" applyAlignment="1">
      <alignment horizontal="center" vertical="center" wrapText="1"/>
    </xf>
    <xf numFmtId="165" fontId="8" fillId="2" borderId="4" xfId="0" applyNumberFormat="1" applyFont="1" applyFill="1" applyBorder="1" applyAlignment="1">
      <alignment horizontal="center" vertical="center" wrapText="1"/>
    </xf>
    <xf numFmtId="165" fontId="8" fillId="2" borderId="7" xfId="0" applyNumberFormat="1" applyFont="1" applyFill="1" applyBorder="1" applyAlignment="1">
      <alignment horizontal="center" vertical="center" wrapText="1"/>
    </xf>
    <xf numFmtId="166" fontId="8" fillId="2" borderId="12" xfId="0" applyNumberFormat="1" applyFont="1" applyFill="1" applyBorder="1" applyAlignment="1">
      <alignment horizontal="center" vertical="center" wrapText="1"/>
    </xf>
    <xf numFmtId="166" fontId="8" fillId="2" borderId="14" xfId="0" applyNumberFormat="1" applyFont="1" applyFill="1" applyBorder="1" applyAlignment="1">
      <alignment horizontal="center" vertical="center" wrapText="1"/>
    </xf>
    <xf numFmtId="166" fontId="8" fillId="2" borderId="16" xfId="0" applyNumberFormat="1" applyFont="1" applyFill="1" applyBorder="1" applyAlignment="1">
      <alignment horizontal="center" vertical="center" wrapText="1"/>
    </xf>
    <xf numFmtId="168" fontId="8" fillId="2" borderId="9" xfId="0" applyNumberFormat="1" applyFont="1" applyFill="1" applyBorder="1" applyAlignment="1">
      <alignment horizontal="center" vertical="center" wrapText="1"/>
    </xf>
    <xf numFmtId="168" fontId="8" fillId="2" borderId="13" xfId="0" applyNumberFormat="1" applyFont="1" applyFill="1" applyBorder="1" applyAlignment="1">
      <alignment horizontal="center" vertical="center" wrapText="1"/>
    </xf>
    <xf numFmtId="168" fontId="8" fillId="2" borderId="15" xfId="0" applyNumberFormat="1" applyFont="1" applyFill="1" applyBorder="1" applyAlignment="1">
      <alignment horizontal="center" vertical="center" wrapText="1"/>
    </xf>
    <xf numFmtId="168" fontId="8" fillId="2" borderId="10" xfId="0" applyNumberFormat="1" applyFont="1" applyFill="1" applyBorder="1" applyAlignment="1">
      <alignment horizontal="center" vertical="center" wrapText="1"/>
    </xf>
    <xf numFmtId="168" fontId="8" fillId="2" borderId="1" xfId="0" applyNumberFormat="1" applyFont="1" applyFill="1" applyBorder="1" applyAlignment="1">
      <alignment horizontal="center" vertical="center" wrapText="1"/>
    </xf>
    <xf numFmtId="168" fontId="8" fillId="2" borderId="5" xfId="0" applyNumberFormat="1" applyFont="1" applyFill="1" applyBorder="1" applyAlignment="1">
      <alignment horizontal="center" vertical="center" wrapText="1"/>
    </xf>
  </cellXfs>
  <cellStyles count="3">
    <cellStyle name="Hyperlink" xfId="1" builtinId="8"/>
    <cellStyle name="Normal" xfId="0" builtinId="0"/>
    <cellStyle name="Normal 2" xfId="2" xr:uid="{25539906-F0A8-41FC-93B8-40AE77E3B814}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O16WqIP8E-Y" TargetMode="External"/><Relationship Id="rId13" Type="http://schemas.openxmlformats.org/officeDocument/2006/relationships/hyperlink" Target="https://youtu.be/fcL9lzI8_wA" TargetMode="External"/><Relationship Id="rId18" Type="http://schemas.openxmlformats.org/officeDocument/2006/relationships/hyperlink" Target="https://youtu.be/44I1Rk9sZj8" TargetMode="External"/><Relationship Id="rId26" Type="http://schemas.openxmlformats.org/officeDocument/2006/relationships/hyperlink" Target="https://youtu.be/BlJzXGCftPk" TargetMode="External"/><Relationship Id="rId3" Type="http://schemas.openxmlformats.org/officeDocument/2006/relationships/hyperlink" Target="https://youtu.be/ZTQZibBe4pU" TargetMode="External"/><Relationship Id="rId21" Type="http://schemas.openxmlformats.org/officeDocument/2006/relationships/hyperlink" Target="https://youtu.be/umZM9qXOnjM" TargetMode="External"/><Relationship Id="rId7" Type="http://schemas.openxmlformats.org/officeDocument/2006/relationships/hyperlink" Target="https://youtu.be/f8_xKO6RSVY" TargetMode="External"/><Relationship Id="rId12" Type="http://schemas.openxmlformats.org/officeDocument/2006/relationships/hyperlink" Target="https://youtu.be/UIfHvDXC8jA" TargetMode="External"/><Relationship Id="rId17" Type="http://schemas.openxmlformats.org/officeDocument/2006/relationships/hyperlink" Target="https://youtu.be/yrEV4L5Lp68" TargetMode="External"/><Relationship Id="rId25" Type="http://schemas.openxmlformats.org/officeDocument/2006/relationships/hyperlink" Target="https://youtu.be/DzsfOOy6mEs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s://youtu.be/UDjoAkURwx8" TargetMode="External"/><Relationship Id="rId16" Type="http://schemas.openxmlformats.org/officeDocument/2006/relationships/hyperlink" Target="https://youtu.be/Fuc-_DK5sL0" TargetMode="External"/><Relationship Id="rId20" Type="http://schemas.openxmlformats.org/officeDocument/2006/relationships/hyperlink" Target="https://youtu.be/OtlEaMxudzA" TargetMode="External"/><Relationship Id="rId29" Type="http://schemas.openxmlformats.org/officeDocument/2006/relationships/hyperlink" Target="https://youtu.be/2mTKaNKSH2E" TargetMode="External"/><Relationship Id="rId1" Type="http://schemas.openxmlformats.org/officeDocument/2006/relationships/hyperlink" Target="https://youtu.be/tcGUzNBC1Zo" TargetMode="External"/><Relationship Id="rId6" Type="http://schemas.openxmlformats.org/officeDocument/2006/relationships/hyperlink" Target="https://youtu.be/-IGw8hNrWy8" TargetMode="External"/><Relationship Id="rId11" Type="http://schemas.openxmlformats.org/officeDocument/2006/relationships/hyperlink" Target="https://youtu.be/aZtfP0Or__s" TargetMode="External"/><Relationship Id="rId24" Type="http://schemas.openxmlformats.org/officeDocument/2006/relationships/hyperlink" Target="https://youtu.be/rPfhoRFt4D0" TargetMode="External"/><Relationship Id="rId32" Type="http://schemas.openxmlformats.org/officeDocument/2006/relationships/hyperlink" Target="https://youtu.be/6gZ_E1RXuXs" TargetMode="External"/><Relationship Id="rId5" Type="http://schemas.openxmlformats.org/officeDocument/2006/relationships/hyperlink" Target="https://youtu.be/GPe_ZWQ9ANQ" TargetMode="External"/><Relationship Id="rId15" Type="http://schemas.openxmlformats.org/officeDocument/2006/relationships/hyperlink" Target="https://youtu.be/ELuKcT0WrEM" TargetMode="External"/><Relationship Id="rId23" Type="http://schemas.openxmlformats.org/officeDocument/2006/relationships/hyperlink" Target="https://youtu.be/M7C6YvyBQmg" TargetMode="External"/><Relationship Id="rId28" Type="http://schemas.openxmlformats.org/officeDocument/2006/relationships/hyperlink" Target="https://youtu.be/dl8UDXbZG0k" TargetMode="External"/><Relationship Id="rId10" Type="http://schemas.openxmlformats.org/officeDocument/2006/relationships/hyperlink" Target="https://youtu.be/eX98APT2uTQ" TargetMode="External"/><Relationship Id="rId19" Type="http://schemas.openxmlformats.org/officeDocument/2006/relationships/hyperlink" Target="https://youtu.be/zxXcpe_KLDU" TargetMode="External"/><Relationship Id="rId31" Type="http://schemas.openxmlformats.org/officeDocument/2006/relationships/hyperlink" Target="https://youtu.be/ZwRSbHvbb34" TargetMode="External"/><Relationship Id="rId4" Type="http://schemas.openxmlformats.org/officeDocument/2006/relationships/hyperlink" Target="https://youtu.be/I0NGf5Z-Ktg" TargetMode="External"/><Relationship Id="rId9" Type="http://schemas.openxmlformats.org/officeDocument/2006/relationships/hyperlink" Target="https://youtu.be/WaachXZ5Fy0" TargetMode="External"/><Relationship Id="rId14" Type="http://schemas.openxmlformats.org/officeDocument/2006/relationships/hyperlink" Target="https://youtu.be/E73YafIoW-g" TargetMode="External"/><Relationship Id="rId22" Type="http://schemas.openxmlformats.org/officeDocument/2006/relationships/hyperlink" Target="https://youtu.be/PJwdBkXNxqU" TargetMode="External"/><Relationship Id="rId27" Type="http://schemas.openxmlformats.org/officeDocument/2006/relationships/hyperlink" Target="https://youtu.be/0AR0epCPOKo" TargetMode="External"/><Relationship Id="rId30" Type="http://schemas.openxmlformats.org/officeDocument/2006/relationships/hyperlink" Target="https://youtu.be/LTEroSLWs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00"/>
  <sheetViews>
    <sheetView tabSelected="1" zoomScale="70" zoomScaleNormal="70" workbookViewId="0">
      <selection activeCell="A52" sqref="A52:Q53"/>
    </sheetView>
  </sheetViews>
  <sheetFormatPr defaultColWidth="9" defaultRowHeight="15"/>
  <cols>
    <col min="1" max="1" width="3.7109375" customWidth="1"/>
    <col min="2" max="2" width="7.7109375" customWidth="1"/>
    <col min="3" max="3" width="7.140625" customWidth="1"/>
    <col min="4" max="4" width="21.28515625" style="4" customWidth="1"/>
    <col min="5" max="5" width="14.28515625" style="4" customWidth="1"/>
    <col min="6" max="6" width="19.28515625" style="4" customWidth="1"/>
    <col min="7" max="7" width="55.85546875" style="4" customWidth="1"/>
    <col min="8" max="8" width="9.5703125" customWidth="1"/>
    <col min="9" max="9" width="8.5703125" customWidth="1"/>
    <col min="10" max="10" width="6.85546875" hidden="1" customWidth="1"/>
    <col min="11" max="11" width="8" style="5" hidden="1" customWidth="1"/>
    <col min="12" max="12" width="8.42578125" style="6" hidden="1" customWidth="1"/>
    <col min="13" max="13" width="8.140625" style="7" customWidth="1"/>
    <col min="14" max="14" width="9.28515625" style="7" hidden="1" customWidth="1"/>
    <col min="15" max="15" width="9.28515625" style="8" hidden="1" customWidth="1"/>
    <col min="16" max="16" width="15.42578125" style="9" hidden="1" customWidth="1"/>
    <col min="17" max="17" width="31.42578125" style="10" customWidth="1"/>
    <col min="18" max="18" width="16.42578125" style="11" customWidth="1"/>
  </cols>
  <sheetData>
    <row r="1" spans="1:18" s="1" customFormat="1" ht="14.25" customHeight="1">
      <c r="A1" s="17"/>
      <c r="B1" s="18"/>
      <c r="C1" s="15"/>
      <c r="D1" s="19"/>
      <c r="E1" s="19"/>
      <c r="F1" s="14"/>
      <c r="G1" s="14"/>
      <c r="H1" s="20"/>
      <c r="I1" s="48"/>
      <c r="J1" s="49"/>
      <c r="K1" s="47"/>
      <c r="L1" s="50"/>
      <c r="M1" s="7"/>
      <c r="N1" s="7"/>
      <c r="O1" s="8"/>
      <c r="P1" s="9"/>
      <c r="Q1" s="88"/>
      <c r="R1" s="11"/>
    </row>
    <row r="2" spans="1:18" s="1" customFormat="1" ht="15" customHeight="1" thickBot="1">
      <c r="A2" s="15"/>
      <c r="B2" s="18"/>
      <c r="C2" s="15"/>
      <c r="D2" s="16"/>
      <c r="E2" s="16"/>
      <c r="F2" s="14"/>
      <c r="G2" s="14"/>
      <c r="H2" s="20"/>
      <c r="I2" s="48"/>
      <c r="J2" s="49"/>
      <c r="K2" s="47"/>
      <c r="L2" s="50"/>
      <c r="M2" s="7"/>
      <c r="N2" s="7"/>
      <c r="O2" s="8"/>
      <c r="P2" s="9"/>
      <c r="Q2" s="88"/>
      <c r="R2" s="11"/>
    </row>
    <row r="3" spans="1:18" ht="14.45" customHeight="1">
      <c r="A3" s="15"/>
      <c r="B3" s="18"/>
      <c r="C3" s="15"/>
      <c r="D3" s="19"/>
      <c r="E3" s="19"/>
      <c r="F3" s="14"/>
      <c r="G3" s="21"/>
      <c r="H3" s="18"/>
      <c r="I3" s="18"/>
      <c r="J3" s="20"/>
      <c r="K3" s="47"/>
      <c r="L3" s="50"/>
      <c r="M3" s="116" t="s">
        <v>2</v>
      </c>
      <c r="N3" s="119" t="s">
        <v>3</v>
      </c>
      <c r="O3" s="110" t="s">
        <v>4</v>
      </c>
      <c r="P3" s="113" t="s">
        <v>5</v>
      </c>
      <c r="Q3" s="88"/>
    </row>
    <row r="4" spans="1:18">
      <c r="A4" s="15"/>
      <c r="B4" s="18"/>
      <c r="C4" s="15"/>
      <c r="D4" s="16"/>
      <c r="E4" s="16"/>
      <c r="F4" s="14"/>
      <c r="G4" s="21"/>
      <c r="H4" s="18"/>
      <c r="I4" s="18"/>
      <c r="J4" s="20"/>
      <c r="K4" s="47"/>
      <c r="L4" s="50"/>
      <c r="M4" s="117"/>
      <c r="N4" s="120"/>
      <c r="O4" s="111"/>
      <c r="P4" s="114"/>
      <c r="Q4" s="88"/>
    </row>
    <row r="5" spans="1:18">
      <c r="A5" s="15"/>
      <c r="B5" s="18"/>
      <c r="C5" s="15"/>
      <c r="D5" s="19"/>
      <c r="E5" s="19"/>
      <c r="F5" s="14"/>
      <c r="G5" s="21"/>
      <c r="H5" s="18"/>
      <c r="I5" s="18"/>
      <c r="J5" s="51"/>
      <c r="K5" s="52"/>
      <c r="L5" s="53"/>
      <c r="M5" s="118"/>
      <c r="N5" s="121"/>
      <c r="O5" s="112"/>
      <c r="P5" s="115"/>
      <c r="Q5" s="88"/>
    </row>
    <row r="6" spans="1:18" ht="23.1" customHeight="1" thickBot="1">
      <c r="A6" s="18"/>
      <c r="B6" s="18"/>
      <c r="C6" s="12"/>
      <c r="D6" s="13"/>
      <c r="E6" s="13"/>
      <c r="F6" s="13"/>
      <c r="G6" s="21"/>
      <c r="H6" s="22"/>
      <c r="I6" s="18"/>
      <c r="J6" s="54"/>
      <c r="K6" s="55"/>
      <c r="L6" s="56"/>
      <c r="M6" s="57">
        <f>SUM(M8:M58)</f>
        <v>1130</v>
      </c>
      <c r="N6" s="58">
        <f>SUM(N8:N58)</f>
        <v>54.69</v>
      </c>
      <c r="O6" s="59">
        <f>SUM(O8:O58)</f>
        <v>15095</v>
      </c>
      <c r="P6" s="60">
        <f>SUM(P8:P58)</f>
        <v>56193.100000000006</v>
      </c>
      <c r="Q6" s="88"/>
    </row>
    <row r="7" spans="1:18" ht="38.25">
      <c r="A7" s="23" t="s">
        <v>6</v>
      </c>
      <c r="B7" s="24" t="s">
        <v>7</v>
      </c>
      <c r="C7" s="24" t="s">
        <v>8</v>
      </c>
      <c r="D7" s="24" t="s">
        <v>9</v>
      </c>
      <c r="E7" s="24" t="s">
        <v>10</v>
      </c>
      <c r="F7" s="24" t="s">
        <v>11</v>
      </c>
      <c r="G7" s="24" t="s">
        <v>12</v>
      </c>
      <c r="H7" s="24" t="s">
        <v>13</v>
      </c>
      <c r="I7" s="61" t="s">
        <v>14</v>
      </c>
      <c r="J7" s="62" t="s">
        <v>15</v>
      </c>
      <c r="K7" s="63" t="s">
        <v>16</v>
      </c>
      <c r="L7" s="64" t="s">
        <v>17</v>
      </c>
      <c r="M7" s="65" t="s">
        <v>18</v>
      </c>
      <c r="N7" s="66" t="s">
        <v>19</v>
      </c>
      <c r="O7" s="67" t="s">
        <v>20</v>
      </c>
      <c r="P7" s="68" t="s">
        <v>21</v>
      </c>
      <c r="Q7" s="89" t="s">
        <v>22</v>
      </c>
    </row>
    <row r="8" spans="1:18" ht="18" customHeight="1">
      <c r="A8" s="25" t="s">
        <v>23</v>
      </c>
      <c r="B8" s="26"/>
      <c r="C8" s="26"/>
      <c r="D8" s="27"/>
      <c r="E8" s="27"/>
      <c r="F8" s="27"/>
      <c r="G8" s="27"/>
      <c r="H8" s="26"/>
      <c r="I8" s="26"/>
      <c r="J8" s="26"/>
      <c r="K8" s="69"/>
      <c r="L8" s="69"/>
      <c r="M8" s="69"/>
      <c r="N8" s="69"/>
      <c r="O8" s="69"/>
      <c r="P8" s="70"/>
      <c r="Q8" s="90"/>
    </row>
    <row r="9" spans="1:18" ht="25.5">
      <c r="A9" s="28">
        <v>14</v>
      </c>
      <c r="B9" s="28">
        <v>50</v>
      </c>
      <c r="C9" s="28">
        <v>16</v>
      </c>
      <c r="D9" s="29" t="s">
        <v>27</v>
      </c>
      <c r="E9" s="30" t="s">
        <v>28</v>
      </c>
      <c r="F9" s="29"/>
      <c r="G9" s="29" t="s">
        <v>29</v>
      </c>
      <c r="H9" s="28">
        <v>50</v>
      </c>
      <c r="I9" s="28" t="s">
        <v>26</v>
      </c>
      <c r="J9" s="28">
        <v>0.03</v>
      </c>
      <c r="K9" s="71">
        <v>9</v>
      </c>
      <c r="L9" s="72">
        <v>35.229999999999997</v>
      </c>
      <c r="M9" s="73">
        <v>50</v>
      </c>
      <c r="N9" s="74">
        <f t="shared" ref="N9:N12" si="0">J9*M9</f>
        <v>1.5</v>
      </c>
      <c r="O9" s="75">
        <f t="shared" ref="O9:O12" si="1">M9*K9</f>
        <v>450</v>
      </c>
      <c r="P9" s="76">
        <f t="shared" ref="P9:P12" si="2">M9*L9</f>
        <v>1761.4999999999998</v>
      </c>
      <c r="Q9" s="90" t="s">
        <v>30</v>
      </c>
    </row>
    <row r="10" spans="1:18">
      <c r="A10" s="28">
        <v>15</v>
      </c>
      <c r="B10" s="28">
        <v>50</v>
      </c>
      <c r="C10" s="28">
        <v>16</v>
      </c>
      <c r="D10" s="29" t="s">
        <v>27</v>
      </c>
      <c r="E10" s="30" t="s">
        <v>31</v>
      </c>
      <c r="F10" s="29"/>
      <c r="G10" s="29" t="s">
        <v>32</v>
      </c>
      <c r="H10" s="28">
        <v>50</v>
      </c>
      <c r="I10" s="28" t="s">
        <v>26</v>
      </c>
      <c r="J10" s="28">
        <v>0.03</v>
      </c>
      <c r="K10" s="71">
        <v>9</v>
      </c>
      <c r="L10" s="72">
        <v>35.229999999999997</v>
      </c>
      <c r="M10" s="73">
        <v>50</v>
      </c>
      <c r="N10" s="74">
        <f t="shared" si="0"/>
        <v>1.5</v>
      </c>
      <c r="O10" s="75">
        <f t="shared" si="1"/>
        <v>450</v>
      </c>
      <c r="P10" s="76">
        <f t="shared" si="2"/>
        <v>1761.4999999999998</v>
      </c>
      <c r="Q10" s="108" t="s">
        <v>33</v>
      </c>
    </row>
    <row r="11" spans="1:18" ht="25.5">
      <c r="A11" s="28">
        <v>16</v>
      </c>
      <c r="B11" s="28">
        <v>50</v>
      </c>
      <c r="C11" s="28">
        <v>16</v>
      </c>
      <c r="D11" s="31" t="s">
        <v>27</v>
      </c>
      <c r="E11" s="32" t="s">
        <v>34</v>
      </c>
      <c r="F11" s="31"/>
      <c r="G11" s="29" t="s">
        <v>35</v>
      </c>
      <c r="H11" s="33">
        <v>50</v>
      </c>
      <c r="I11" s="28" t="s">
        <v>26</v>
      </c>
      <c r="J11" s="28">
        <v>0.03</v>
      </c>
      <c r="K11" s="71">
        <v>9</v>
      </c>
      <c r="L11" s="72">
        <v>35.229999999999997</v>
      </c>
      <c r="M11" s="77">
        <v>50</v>
      </c>
      <c r="N11" s="74">
        <f t="shared" si="0"/>
        <v>1.5</v>
      </c>
      <c r="O11" s="75">
        <f t="shared" si="1"/>
        <v>450</v>
      </c>
      <c r="P11" s="76">
        <f t="shared" si="2"/>
        <v>1761.4999999999998</v>
      </c>
      <c r="Q11" s="108" t="s">
        <v>36</v>
      </c>
    </row>
    <row r="12" spans="1:18">
      <c r="A12" s="28">
        <v>17</v>
      </c>
      <c r="B12" s="28">
        <v>25</v>
      </c>
      <c r="C12" s="28">
        <v>36</v>
      </c>
      <c r="D12" s="29" t="s">
        <v>37</v>
      </c>
      <c r="E12" s="30" t="s">
        <v>38</v>
      </c>
      <c r="F12" s="29"/>
      <c r="G12" s="29" t="s">
        <v>39</v>
      </c>
      <c r="H12" s="28">
        <v>6</v>
      </c>
      <c r="I12" s="28" t="s">
        <v>40</v>
      </c>
      <c r="J12" s="28">
        <v>3.2000000000000001E-2</v>
      </c>
      <c r="K12" s="71">
        <v>8</v>
      </c>
      <c r="L12" s="72">
        <v>60.59</v>
      </c>
      <c r="M12" s="73"/>
      <c r="N12" s="74">
        <f t="shared" si="0"/>
        <v>0</v>
      </c>
      <c r="O12" s="75">
        <f t="shared" si="1"/>
        <v>0</v>
      </c>
      <c r="P12" s="76">
        <f t="shared" si="2"/>
        <v>0</v>
      </c>
      <c r="Q12" s="90" t="s">
        <v>41</v>
      </c>
    </row>
    <row r="13" spans="1:18" ht="18">
      <c r="A13" s="34" t="s">
        <v>42</v>
      </c>
      <c r="B13" s="35"/>
      <c r="C13" s="35"/>
      <c r="D13" s="36"/>
      <c r="E13" s="37"/>
      <c r="F13" s="36"/>
      <c r="G13" s="36"/>
      <c r="H13" s="35"/>
      <c r="I13" s="78"/>
      <c r="J13" s="35"/>
      <c r="K13" s="79"/>
      <c r="L13" s="80"/>
      <c r="M13" s="81"/>
      <c r="N13" s="81"/>
      <c r="O13" s="81"/>
      <c r="P13" s="81"/>
      <c r="Q13" s="91"/>
      <c r="R13" s="92"/>
    </row>
    <row r="14" spans="1:18" ht="267.75">
      <c r="A14" s="38">
        <v>1</v>
      </c>
      <c r="B14" s="39" t="s">
        <v>43</v>
      </c>
      <c r="C14" s="39">
        <v>264</v>
      </c>
      <c r="D14" s="40" t="s">
        <v>44</v>
      </c>
      <c r="E14" s="41" t="s">
        <v>45</v>
      </c>
      <c r="F14" s="40"/>
      <c r="G14" s="42" t="s">
        <v>46</v>
      </c>
      <c r="H14" s="38">
        <v>200</v>
      </c>
      <c r="I14" s="82" t="s">
        <v>47</v>
      </c>
      <c r="J14" s="38">
        <v>5.8000000000000003E-2</v>
      </c>
      <c r="K14" s="83">
        <v>14</v>
      </c>
      <c r="L14" s="84">
        <v>85.37</v>
      </c>
      <c r="M14" s="85">
        <v>50</v>
      </c>
      <c r="N14" s="74">
        <f>J14*M14</f>
        <v>2.9000000000000004</v>
      </c>
      <c r="O14" s="75">
        <f>M14*K14</f>
        <v>700</v>
      </c>
      <c r="P14" s="76">
        <f>M14*L14</f>
        <v>4268.5</v>
      </c>
      <c r="Q14" s="90" t="s">
        <v>48</v>
      </c>
    </row>
    <row r="15" spans="1:18" ht="76.5">
      <c r="A15" s="38">
        <v>2</v>
      </c>
      <c r="B15" s="43" t="s">
        <v>49</v>
      </c>
      <c r="C15" s="43">
        <v>104</v>
      </c>
      <c r="D15" s="29" t="s">
        <v>44</v>
      </c>
      <c r="E15" s="41" t="s">
        <v>50</v>
      </c>
      <c r="F15" s="29"/>
      <c r="G15" s="44" t="s">
        <v>51</v>
      </c>
      <c r="H15" s="28">
        <v>85</v>
      </c>
      <c r="I15" s="82" t="s">
        <v>47</v>
      </c>
      <c r="J15" s="28">
        <v>4.8000000000000001E-2</v>
      </c>
      <c r="K15" s="71">
        <v>17</v>
      </c>
      <c r="L15" s="72">
        <v>69.209999999999994</v>
      </c>
      <c r="M15" s="73">
        <v>50</v>
      </c>
      <c r="N15" s="74">
        <f>J15*M15</f>
        <v>2.4</v>
      </c>
      <c r="O15" s="75">
        <f>M15*K15</f>
        <v>850</v>
      </c>
      <c r="P15" s="76">
        <f>M15*L15</f>
        <v>3460.4999999999995</v>
      </c>
      <c r="Q15" s="108" t="s">
        <v>52</v>
      </c>
    </row>
    <row r="16" spans="1:18" ht="76.5">
      <c r="A16" s="38">
        <v>3</v>
      </c>
      <c r="B16" s="28">
        <v>25</v>
      </c>
      <c r="C16" s="28">
        <v>179</v>
      </c>
      <c r="D16" s="29" t="s">
        <v>44</v>
      </c>
      <c r="E16" s="41" t="s">
        <v>53</v>
      </c>
      <c r="F16" s="29"/>
      <c r="G16" s="44" t="s">
        <v>54</v>
      </c>
      <c r="H16" s="28">
        <v>185</v>
      </c>
      <c r="I16" s="82" t="s">
        <v>47</v>
      </c>
      <c r="J16" s="28">
        <v>7.1999999999999995E-2</v>
      </c>
      <c r="K16" s="71">
        <v>23</v>
      </c>
      <c r="L16" s="72">
        <v>72.98</v>
      </c>
      <c r="M16" s="73">
        <v>30</v>
      </c>
      <c r="N16" s="74">
        <f>J16*M16</f>
        <v>2.1599999999999997</v>
      </c>
      <c r="O16" s="75">
        <f>M16*K16</f>
        <v>690</v>
      </c>
      <c r="P16" s="76">
        <f>M16*L16</f>
        <v>2189.4</v>
      </c>
      <c r="Q16" s="90" t="s">
        <v>55</v>
      </c>
    </row>
    <row r="17" spans="1:18" ht="114.75">
      <c r="A17" s="38">
        <v>4</v>
      </c>
      <c r="B17" s="43" t="s">
        <v>56</v>
      </c>
      <c r="C17" s="28">
        <v>343</v>
      </c>
      <c r="D17" s="29" t="s">
        <v>44</v>
      </c>
      <c r="E17" s="41" t="s">
        <v>57</v>
      </c>
      <c r="F17" s="29"/>
      <c r="G17" s="44" t="s">
        <v>58</v>
      </c>
      <c r="H17" s="28">
        <v>350</v>
      </c>
      <c r="I17" s="82" t="s">
        <v>59</v>
      </c>
      <c r="J17" s="28">
        <v>6.2E-2</v>
      </c>
      <c r="K17" s="71">
        <v>29</v>
      </c>
      <c r="L17" s="72">
        <v>92.61</v>
      </c>
      <c r="M17" s="73">
        <v>50</v>
      </c>
      <c r="N17" s="74">
        <f>J17*M17</f>
        <v>3.1</v>
      </c>
      <c r="O17" s="75">
        <f>M17*K17</f>
        <v>1450</v>
      </c>
      <c r="P17" s="76">
        <f>M17*L17</f>
        <v>4630.5</v>
      </c>
      <c r="Q17" s="108" t="s">
        <v>60</v>
      </c>
    </row>
    <row r="18" spans="1:18" ht="76.5">
      <c r="A18" s="38">
        <v>5</v>
      </c>
      <c r="B18" s="28">
        <v>30</v>
      </c>
      <c r="C18" s="28">
        <v>196</v>
      </c>
      <c r="D18" s="29" t="s">
        <v>44</v>
      </c>
      <c r="E18" s="41" t="s">
        <v>61</v>
      </c>
      <c r="F18" s="29"/>
      <c r="G18" s="44" t="s">
        <v>62</v>
      </c>
      <c r="H18" s="28">
        <v>130</v>
      </c>
      <c r="I18" s="82" t="s">
        <v>47</v>
      </c>
      <c r="J18" s="28">
        <v>8.4000000000000005E-2</v>
      </c>
      <c r="K18" s="71">
        <v>28</v>
      </c>
      <c r="L18" s="72">
        <v>83.04</v>
      </c>
      <c r="M18" s="73">
        <v>50</v>
      </c>
      <c r="N18" s="74">
        <f>J18*M18</f>
        <v>4.2</v>
      </c>
      <c r="O18" s="75">
        <f>M18*K18</f>
        <v>1400</v>
      </c>
      <c r="P18" s="76">
        <f>M18*L18</f>
        <v>4152</v>
      </c>
      <c r="Q18" s="108" t="s">
        <v>63</v>
      </c>
    </row>
    <row r="19" spans="1:18" ht="15.75">
      <c r="A19" s="25" t="s">
        <v>0</v>
      </c>
      <c r="B19" s="45"/>
      <c r="C19" s="45"/>
      <c r="D19" s="46"/>
      <c r="E19" s="46"/>
      <c r="F19" s="46"/>
      <c r="G19" s="46"/>
      <c r="H19" s="45"/>
      <c r="I19" s="45"/>
      <c r="J19" s="45"/>
      <c r="K19" s="86"/>
      <c r="L19" s="86"/>
      <c r="M19" s="86"/>
      <c r="N19" s="86"/>
      <c r="O19" s="86"/>
      <c r="P19" s="86"/>
      <c r="Q19" s="91"/>
      <c r="R19" s="92"/>
    </row>
    <row r="20" spans="1:18">
      <c r="A20" s="38">
        <v>38</v>
      </c>
      <c r="B20" s="28">
        <v>30</v>
      </c>
      <c r="C20" s="28">
        <v>9</v>
      </c>
      <c r="D20" s="29" t="s">
        <v>25</v>
      </c>
      <c r="E20" s="30" t="s">
        <v>67</v>
      </c>
      <c r="F20" s="29"/>
      <c r="G20" s="29" t="s">
        <v>68</v>
      </c>
      <c r="H20" s="28">
        <v>4</v>
      </c>
      <c r="I20" s="107" t="s">
        <v>24</v>
      </c>
      <c r="J20" s="28">
        <v>5.3999999999999999E-2</v>
      </c>
      <c r="K20" s="71">
        <v>14</v>
      </c>
      <c r="L20" s="72">
        <v>59.68</v>
      </c>
      <c r="M20" s="73">
        <v>30</v>
      </c>
      <c r="N20" s="74">
        <f t="shared" ref="N20:N23" si="3">M20*J20</f>
        <v>1.6199999999999999</v>
      </c>
      <c r="O20" s="75">
        <f t="shared" ref="O20:O23" si="4">M20*K20</f>
        <v>420</v>
      </c>
      <c r="P20" s="76">
        <f t="shared" ref="P20:P23" si="5">M20*L20</f>
        <v>1790.4</v>
      </c>
      <c r="Q20" s="101" t="s">
        <v>69</v>
      </c>
    </row>
    <row r="21" spans="1:18">
      <c r="A21" s="38">
        <v>39</v>
      </c>
      <c r="B21" s="28">
        <v>30</v>
      </c>
      <c r="C21" s="28">
        <v>9</v>
      </c>
      <c r="D21" s="29" t="s">
        <v>25</v>
      </c>
      <c r="E21" s="30" t="s">
        <v>70</v>
      </c>
      <c r="F21" s="29"/>
      <c r="G21" s="29" t="s">
        <v>71</v>
      </c>
      <c r="H21" s="28">
        <v>4</v>
      </c>
      <c r="I21" s="107" t="s">
        <v>24</v>
      </c>
      <c r="J21" s="28">
        <v>5.3999999999999999E-2</v>
      </c>
      <c r="K21" s="71">
        <v>14</v>
      </c>
      <c r="L21" s="72">
        <v>59.68</v>
      </c>
      <c r="M21" s="73">
        <v>30</v>
      </c>
      <c r="N21" s="74">
        <f t="shared" si="3"/>
        <v>1.6199999999999999</v>
      </c>
      <c r="O21" s="75">
        <f t="shared" si="4"/>
        <v>420</v>
      </c>
      <c r="P21" s="76">
        <f t="shared" si="5"/>
        <v>1790.4</v>
      </c>
      <c r="Q21" s="101" t="s">
        <v>72</v>
      </c>
      <c r="R21" s="11" t="s">
        <v>64</v>
      </c>
    </row>
    <row r="22" spans="1:18">
      <c r="A22" s="38">
        <v>40</v>
      </c>
      <c r="B22" s="28">
        <v>30</v>
      </c>
      <c r="C22" s="28">
        <v>9</v>
      </c>
      <c r="D22" s="29" t="s">
        <v>25</v>
      </c>
      <c r="E22" s="30" t="s">
        <v>73</v>
      </c>
      <c r="F22" s="29"/>
      <c r="G22" s="29" t="s">
        <v>74</v>
      </c>
      <c r="H22" s="28">
        <v>4</v>
      </c>
      <c r="I22" s="107" t="s">
        <v>24</v>
      </c>
      <c r="J22" s="28">
        <v>5.3999999999999999E-2</v>
      </c>
      <c r="K22" s="71">
        <v>14</v>
      </c>
      <c r="L22" s="72">
        <v>59.68</v>
      </c>
      <c r="M22" s="73">
        <v>30</v>
      </c>
      <c r="N22" s="74">
        <f t="shared" si="3"/>
        <v>1.6199999999999999</v>
      </c>
      <c r="O22" s="75">
        <f t="shared" si="4"/>
        <v>420</v>
      </c>
      <c r="P22" s="76">
        <f t="shared" si="5"/>
        <v>1790.4</v>
      </c>
      <c r="Q22" s="101" t="s">
        <v>75</v>
      </c>
      <c r="R22" s="93"/>
    </row>
    <row r="23" spans="1:18">
      <c r="A23" s="38">
        <v>41</v>
      </c>
      <c r="B23" s="28">
        <v>30</v>
      </c>
      <c r="C23" s="28">
        <v>12</v>
      </c>
      <c r="D23" s="29" t="s">
        <v>76</v>
      </c>
      <c r="E23" s="30" t="s">
        <v>77</v>
      </c>
      <c r="F23" s="29" t="s">
        <v>78</v>
      </c>
      <c r="G23" s="29" t="s">
        <v>79</v>
      </c>
      <c r="H23" s="28">
        <v>5</v>
      </c>
      <c r="I23" s="82" t="s">
        <v>66</v>
      </c>
      <c r="J23" s="97">
        <v>4.2000000000000003E-2</v>
      </c>
      <c r="K23" s="98">
        <v>10</v>
      </c>
      <c r="L23" s="72">
        <v>35.590000000000003</v>
      </c>
      <c r="M23" s="73">
        <v>30</v>
      </c>
      <c r="N23" s="74">
        <f t="shared" si="3"/>
        <v>1.26</v>
      </c>
      <c r="O23" s="75">
        <f t="shared" si="4"/>
        <v>300</v>
      </c>
      <c r="P23" s="76">
        <f t="shared" si="5"/>
        <v>1067.7</v>
      </c>
      <c r="Q23" s="108" t="s">
        <v>80</v>
      </c>
    </row>
    <row r="24" spans="1:18" ht="15.75">
      <c r="A24" s="94" t="s">
        <v>1</v>
      </c>
      <c r="B24" s="95"/>
      <c r="C24" s="95"/>
      <c r="D24" s="96" t="s">
        <v>65</v>
      </c>
      <c r="E24" s="96" t="s">
        <v>65</v>
      </c>
      <c r="F24" s="96" t="s">
        <v>65</v>
      </c>
      <c r="G24" s="96" t="s">
        <v>65</v>
      </c>
      <c r="H24" s="95"/>
      <c r="I24" s="95"/>
      <c r="J24" s="99"/>
      <c r="K24" s="100"/>
      <c r="L24" s="100"/>
      <c r="M24" s="100"/>
      <c r="N24" s="100"/>
      <c r="O24" s="100"/>
      <c r="P24" s="100"/>
      <c r="Q24" s="91"/>
    </row>
    <row r="25" spans="1:18" ht="25.9" customHeight="1">
      <c r="A25" s="38">
        <v>4</v>
      </c>
      <c r="B25" s="28">
        <v>14</v>
      </c>
      <c r="C25" s="28">
        <v>225</v>
      </c>
      <c r="D25" s="29" t="s">
        <v>82</v>
      </c>
      <c r="E25" s="30" t="s">
        <v>83</v>
      </c>
      <c r="F25" s="29" t="s">
        <v>84</v>
      </c>
      <c r="G25" s="29" t="s">
        <v>85</v>
      </c>
      <c r="H25" s="28">
        <v>12</v>
      </c>
      <c r="I25" s="87" t="s">
        <v>26</v>
      </c>
      <c r="J25" s="28">
        <v>3.4000000000000002E-2</v>
      </c>
      <c r="K25" s="71">
        <v>15</v>
      </c>
      <c r="L25" s="72">
        <v>52.62</v>
      </c>
      <c r="M25" s="73">
        <v>30</v>
      </c>
      <c r="N25" s="74">
        <f t="shared" ref="N25:N35" si="6">M25*J25</f>
        <v>1.02</v>
      </c>
      <c r="O25" s="75">
        <f t="shared" ref="O25:O35" si="7">M25*K25</f>
        <v>450</v>
      </c>
      <c r="P25" s="76">
        <f t="shared" ref="P25:P35" si="8">M25*L25</f>
        <v>1578.6</v>
      </c>
      <c r="Q25" s="90" t="s">
        <v>86</v>
      </c>
      <c r="R25"/>
    </row>
    <row r="26" spans="1:18" s="2" customFormat="1" ht="18" customHeight="1">
      <c r="A26" s="38">
        <v>8</v>
      </c>
      <c r="B26" s="28">
        <v>16</v>
      </c>
      <c r="C26" s="28">
        <v>225</v>
      </c>
      <c r="D26" s="29" t="s">
        <v>87</v>
      </c>
      <c r="E26" s="30" t="s">
        <v>88</v>
      </c>
      <c r="F26" s="29" t="s">
        <v>89</v>
      </c>
      <c r="G26" s="29" t="s">
        <v>90</v>
      </c>
      <c r="H26" s="43">
        <v>12</v>
      </c>
      <c r="I26" s="87" t="s">
        <v>81</v>
      </c>
      <c r="J26" s="97">
        <v>6.9000000000000006E-2</v>
      </c>
      <c r="K26" s="98">
        <v>9.5</v>
      </c>
      <c r="L26" s="72">
        <v>46.02</v>
      </c>
      <c r="M26" s="73">
        <v>30</v>
      </c>
      <c r="N26" s="74">
        <f t="shared" si="6"/>
        <v>2.0700000000000003</v>
      </c>
      <c r="O26" s="75">
        <f t="shared" si="7"/>
        <v>285</v>
      </c>
      <c r="P26" s="76">
        <f t="shared" si="8"/>
        <v>1380.6000000000001</v>
      </c>
      <c r="Q26" s="108" t="s">
        <v>91</v>
      </c>
      <c r="R26"/>
    </row>
    <row r="27" spans="1:18" ht="288" customHeight="1">
      <c r="A27" s="38">
        <v>9</v>
      </c>
      <c r="B27" s="28">
        <v>16</v>
      </c>
      <c r="C27" s="28">
        <v>225</v>
      </c>
      <c r="D27" s="29" t="s">
        <v>87</v>
      </c>
      <c r="E27" s="30" t="s">
        <v>92</v>
      </c>
      <c r="F27" s="29" t="s">
        <v>93</v>
      </c>
      <c r="G27" s="29" t="s">
        <v>94</v>
      </c>
      <c r="H27" s="43">
        <v>25</v>
      </c>
      <c r="I27" s="87" t="s">
        <v>81</v>
      </c>
      <c r="J27" s="97">
        <v>6.9000000000000006E-2</v>
      </c>
      <c r="K27" s="98">
        <v>9.5</v>
      </c>
      <c r="L27" s="72">
        <v>46.02</v>
      </c>
      <c r="M27" s="73">
        <v>30</v>
      </c>
      <c r="N27" s="74">
        <f t="shared" si="6"/>
        <v>2.0700000000000003</v>
      </c>
      <c r="O27" s="75">
        <f t="shared" si="7"/>
        <v>285</v>
      </c>
      <c r="P27" s="76">
        <f t="shared" si="8"/>
        <v>1380.6000000000001</v>
      </c>
      <c r="Q27" s="90" t="s">
        <v>95</v>
      </c>
      <c r="R27"/>
    </row>
    <row r="28" spans="1:18">
      <c r="A28" s="38">
        <v>10</v>
      </c>
      <c r="B28" s="28">
        <v>16</v>
      </c>
      <c r="C28" s="28">
        <v>225</v>
      </c>
      <c r="D28" s="29" t="s">
        <v>96</v>
      </c>
      <c r="E28" s="30" t="s">
        <v>97</v>
      </c>
      <c r="F28" s="29" t="s">
        <v>98</v>
      </c>
      <c r="G28" s="29" t="s">
        <v>99</v>
      </c>
      <c r="H28" s="43">
        <v>13</v>
      </c>
      <c r="I28" s="87" t="s">
        <v>81</v>
      </c>
      <c r="J28" s="97">
        <v>6.9000000000000006E-2</v>
      </c>
      <c r="K28" s="98">
        <v>9.5</v>
      </c>
      <c r="L28" s="72">
        <v>46.02</v>
      </c>
      <c r="M28" s="73">
        <v>30</v>
      </c>
      <c r="N28" s="74">
        <f t="shared" si="6"/>
        <v>2.0700000000000003</v>
      </c>
      <c r="O28" s="75">
        <f t="shared" si="7"/>
        <v>285</v>
      </c>
      <c r="P28" s="76">
        <f t="shared" si="8"/>
        <v>1380.6000000000001</v>
      </c>
      <c r="Q28" s="108" t="s">
        <v>100</v>
      </c>
    </row>
    <row r="29" spans="1:18">
      <c r="A29" s="38">
        <v>11</v>
      </c>
      <c r="B29" s="28">
        <v>16</v>
      </c>
      <c r="C29" s="28">
        <v>225</v>
      </c>
      <c r="D29" s="29" t="s">
        <v>101</v>
      </c>
      <c r="E29" s="30" t="s">
        <v>102</v>
      </c>
      <c r="F29" s="29" t="s">
        <v>103</v>
      </c>
      <c r="G29" s="29" t="s">
        <v>104</v>
      </c>
      <c r="H29" s="43">
        <v>40</v>
      </c>
      <c r="I29" s="87" t="s">
        <v>81</v>
      </c>
      <c r="J29" s="97">
        <v>6.9000000000000006E-2</v>
      </c>
      <c r="K29" s="98">
        <v>9.5</v>
      </c>
      <c r="L29" s="72">
        <v>46.02</v>
      </c>
      <c r="M29" s="73">
        <v>30</v>
      </c>
      <c r="N29" s="74">
        <f t="shared" si="6"/>
        <v>2.0700000000000003</v>
      </c>
      <c r="O29" s="75">
        <f t="shared" si="7"/>
        <v>285</v>
      </c>
      <c r="P29" s="76">
        <f t="shared" si="8"/>
        <v>1380.6000000000001</v>
      </c>
      <c r="Q29" s="108" t="s">
        <v>105</v>
      </c>
    </row>
    <row r="30" spans="1:18">
      <c r="A30" s="38">
        <v>12</v>
      </c>
      <c r="B30" s="28">
        <v>16</v>
      </c>
      <c r="C30" s="28">
        <v>225</v>
      </c>
      <c r="D30" s="29" t="s">
        <v>106</v>
      </c>
      <c r="E30" s="30" t="s">
        <v>107</v>
      </c>
      <c r="F30" s="29" t="s">
        <v>108</v>
      </c>
      <c r="G30" s="29" t="s">
        <v>109</v>
      </c>
      <c r="H30" s="43">
        <v>20</v>
      </c>
      <c r="I30" s="87" t="s">
        <v>81</v>
      </c>
      <c r="J30" s="97">
        <v>6.9000000000000006E-2</v>
      </c>
      <c r="K30" s="98">
        <v>9.5</v>
      </c>
      <c r="L30" s="72">
        <v>46.02</v>
      </c>
      <c r="M30" s="73">
        <v>30</v>
      </c>
      <c r="N30" s="74">
        <f t="shared" si="6"/>
        <v>2.0700000000000003</v>
      </c>
      <c r="O30" s="75">
        <f t="shared" si="7"/>
        <v>285</v>
      </c>
      <c r="P30" s="76">
        <f t="shared" si="8"/>
        <v>1380.6000000000001</v>
      </c>
      <c r="Q30" s="90" t="s">
        <v>110</v>
      </c>
    </row>
    <row r="31" spans="1:18" ht="76.5">
      <c r="A31" s="38">
        <v>27</v>
      </c>
      <c r="B31" s="28">
        <v>20</v>
      </c>
      <c r="C31" s="28">
        <v>66</v>
      </c>
      <c r="D31" s="29" t="s">
        <v>111</v>
      </c>
      <c r="E31" s="30" t="s">
        <v>112</v>
      </c>
      <c r="F31" s="29" t="s">
        <v>113</v>
      </c>
      <c r="G31" s="29" t="s">
        <v>114</v>
      </c>
      <c r="H31" s="28">
        <v>55</v>
      </c>
      <c r="I31" s="87" t="s">
        <v>26</v>
      </c>
      <c r="J31" s="28">
        <v>3.7999999999999999E-2</v>
      </c>
      <c r="K31" s="71">
        <v>13</v>
      </c>
      <c r="L31" s="72">
        <v>37.44</v>
      </c>
      <c r="M31" s="73">
        <v>30</v>
      </c>
      <c r="N31" s="74">
        <f t="shared" si="6"/>
        <v>1.1399999999999999</v>
      </c>
      <c r="O31" s="75">
        <f t="shared" si="7"/>
        <v>390</v>
      </c>
      <c r="P31" s="76">
        <f t="shared" si="8"/>
        <v>1123.1999999999998</v>
      </c>
      <c r="Q31" s="108" t="s">
        <v>115</v>
      </c>
    </row>
    <row r="32" spans="1:18" s="3" customFormat="1" ht="18" customHeight="1">
      <c r="A32" s="38">
        <v>29</v>
      </c>
      <c r="B32" s="28">
        <v>25</v>
      </c>
      <c r="C32" s="28">
        <v>81</v>
      </c>
      <c r="D32" s="29" t="s">
        <v>116</v>
      </c>
      <c r="E32" s="30" t="s">
        <v>117</v>
      </c>
      <c r="F32" s="29" t="s">
        <v>118</v>
      </c>
      <c r="G32" s="29" t="s">
        <v>119</v>
      </c>
      <c r="H32" s="43">
        <v>20</v>
      </c>
      <c r="I32" s="87" t="s">
        <v>81</v>
      </c>
      <c r="J32" s="97">
        <v>2.9000000000000001E-2</v>
      </c>
      <c r="K32" s="98">
        <v>8</v>
      </c>
      <c r="L32" s="72">
        <v>24.76</v>
      </c>
      <c r="M32" s="73"/>
      <c r="N32" s="74">
        <f t="shared" si="6"/>
        <v>0</v>
      </c>
      <c r="O32" s="75">
        <f t="shared" si="7"/>
        <v>0</v>
      </c>
      <c r="P32" s="76">
        <f t="shared" si="8"/>
        <v>0</v>
      </c>
      <c r="Q32" s="108" t="s">
        <v>120</v>
      </c>
      <c r="R32" s="11" t="s">
        <v>64</v>
      </c>
    </row>
    <row r="33" spans="1:18">
      <c r="A33" s="38">
        <v>30</v>
      </c>
      <c r="B33" s="28">
        <v>25</v>
      </c>
      <c r="C33" s="28">
        <v>81</v>
      </c>
      <c r="D33" s="29" t="s">
        <v>116</v>
      </c>
      <c r="E33" s="30" t="s">
        <v>121</v>
      </c>
      <c r="F33" s="29" t="s">
        <v>122</v>
      </c>
      <c r="G33" s="29" t="s">
        <v>123</v>
      </c>
      <c r="H33" s="28">
        <v>25</v>
      </c>
      <c r="I33" s="87" t="s">
        <v>81</v>
      </c>
      <c r="J33" s="28">
        <v>2.9000000000000001E-2</v>
      </c>
      <c r="K33" s="71">
        <v>8</v>
      </c>
      <c r="L33" s="72">
        <v>22.15</v>
      </c>
      <c r="M33" s="73">
        <v>30</v>
      </c>
      <c r="N33" s="74">
        <f t="shared" si="6"/>
        <v>0.87</v>
      </c>
      <c r="O33" s="75">
        <f t="shared" si="7"/>
        <v>240</v>
      </c>
      <c r="P33" s="76">
        <f t="shared" si="8"/>
        <v>664.5</v>
      </c>
      <c r="Q33" s="108" t="s">
        <v>124</v>
      </c>
    </row>
    <row r="34" spans="1:18">
      <c r="A34" s="38">
        <v>31</v>
      </c>
      <c r="B34" s="28">
        <v>25</v>
      </c>
      <c r="C34" s="28">
        <v>81</v>
      </c>
      <c r="D34" s="29" t="s">
        <v>125</v>
      </c>
      <c r="E34" s="30" t="s">
        <v>126</v>
      </c>
      <c r="F34" s="29" t="s">
        <v>127</v>
      </c>
      <c r="G34" s="29" t="s">
        <v>128</v>
      </c>
      <c r="H34" s="28">
        <v>25</v>
      </c>
      <c r="I34" s="87" t="s">
        <v>81</v>
      </c>
      <c r="J34" s="28">
        <v>2.9000000000000001E-2</v>
      </c>
      <c r="K34" s="71">
        <v>8</v>
      </c>
      <c r="L34" s="72">
        <v>22.82</v>
      </c>
      <c r="M34" s="73"/>
      <c r="N34" s="74">
        <f t="shared" si="6"/>
        <v>0</v>
      </c>
      <c r="O34" s="75">
        <f t="shared" si="7"/>
        <v>0</v>
      </c>
      <c r="P34" s="76">
        <f t="shared" si="8"/>
        <v>0</v>
      </c>
      <c r="Q34" s="108" t="s">
        <v>129</v>
      </c>
    </row>
    <row r="35" spans="1:18">
      <c r="A35" s="38">
        <v>32</v>
      </c>
      <c r="B35" s="28">
        <v>25</v>
      </c>
      <c r="C35" s="28">
        <v>81</v>
      </c>
      <c r="D35" s="29" t="s">
        <v>116</v>
      </c>
      <c r="E35" s="30" t="s">
        <v>130</v>
      </c>
      <c r="F35" s="29" t="s">
        <v>131</v>
      </c>
      <c r="G35" s="29" t="s">
        <v>132</v>
      </c>
      <c r="H35" s="28">
        <v>25</v>
      </c>
      <c r="I35" s="87" t="s">
        <v>81</v>
      </c>
      <c r="J35" s="28">
        <v>2.9000000000000001E-2</v>
      </c>
      <c r="K35" s="71">
        <v>8</v>
      </c>
      <c r="L35" s="72">
        <v>22.82</v>
      </c>
      <c r="M35" s="73">
        <v>30</v>
      </c>
      <c r="N35" s="74">
        <f t="shared" si="6"/>
        <v>0.87</v>
      </c>
      <c r="O35" s="75">
        <f t="shared" si="7"/>
        <v>240</v>
      </c>
      <c r="P35" s="76">
        <f t="shared" si="8"/>
        <v>684.6</v>
      </c>
      <c r="Q35" s="108" t="s">
        <v>133</v>
      </c>
    </row>
    <row r="36" spans="1:18" ht="25.5">
      <c r="A36" s="38">
        <v>33</v>
      </c>
      <c r="B36" s="28">
        <v>25</v>
      </c>
      <c r="C36" s="28">
        <v>81</v>
      </c>
      <c r="D36" s="29" t="s">
        <v>134</v>
      </c>
      <c r="E36" s="30" t="s">
        <v>135</v>
      </c>
      <c r="F36" s="29" t="s">
        <v>136</v>
      </c>
      <c r="G36" s="29" t="s">
        <v>137</v>
      </c>
      <c r="H36" s="43">
        <v>8</v>
      </c>
      <c r="I36" s="87" t="s">
        <v>81</v>
      </c>
      <c r="J36" s="97">
        <v>2.9000000000000001E-2</v>
      </c>
      <c r="K36" s="98">
        <v>8</v>
      </c>
      <c r="L36" s="72">
        <v>24.63</v>
      </c>
      <c r="M36" s="73"/>
      <c r="N36" s="74">
        <f t="shared" ref="N36:N53" si="9">M36*J36</f>
        <v>0</v>
      </c>
      <c r="O36" s="75">
        <f t="shared" ref="O36:O54" si="10">M36*K36</f>
        <v>0</v>
      </c>
      <c r="P36" s="76">
        <f t="shared" ref="P36:P54" si="11">M36*L36</f>
        <v>0</v>
      </c>
      <c r="Q36" s="90" t="s">
        <v>138</v>
      </c>
      <c r="R36" s="11" t="s">
        <v>64</v>
      </c>
    </row>
    <row r="37" spans="1:18">
      <c r="A37" s="38">
        <v>34</v>
      </c>
      <c r="B37" s="28">
        <v>25</v>
      </c>
      <c r="C37" s="28">
        <v>81</v>
      </c>
      <c r="D37" s="29" t="s">
        <v>139</v>
      </c>
      <c r="E37" s="30" t="s">
        <v>140</v>
      </c>
      <c r="F37" s="29"/>
      <c r="G37" s="29" t="s">
        <v>141</v>
      </c>
      <c r="H37" s="28">
        <v>12</v>
      </c>
      <c r="I37" s="107" t="s">
        <v>81</v>
      </c>
      <c r="J37" s="28">
        <v>2.9000000000000001E-2</v>
      </c>
      <c r="K37" s="71">
        <v>8</v>
      </c>
      <c r="L37" s="72">
        <v>28.53</v>
      </c>
      <c r="M37" s="73"/>
      <c r="N37" s="74">
        <f t="shared" si="9"/>
        <v>0</v>
      </c>
      <c r="O37" s="75">
        <f t="shared" si="10"/>
        <v>0</v>
      </c>
      <c r="P37" s="76">
        <f t="shared" si="11"/>
        <v>0</v>
      </c>
      <c r="Q37" s="108" t="s">
        <v>142</v>
      </c>
    </row>
    <row r="38" spans="1:18">
      <c r="A38" s="38">
        <v>35</v>
      </c>
      <c r="B38" s="28">
        <v>25</v>
      </c>
      <c r="C38" s="28">
        <v>81</v>
      </c>
      <c r="D38" s="29" t="s">
        <v>139</v>
      </c>
      <c r="E38" s="30" t="s">
        <v>143</v>
      </c>
      <c r="F38" s="29"/>
      <c r="G38" s="29" t="s">
        <v>144</v>
      </c>
      <c r="H38" s="28">
        <v>12</v>
      </c>
      <c r="I38" s="107" t="s">
        <v>81</v>
      </c>
      <c r="J38" s="28">
        <v>2.9000000000000001E-2</v>
      </c>
      <c r="K38" s="71">
        <v>8</v>
      </c>
      <c r="L38" s="72">
        <v>28.53</v>
      </c>
      <c r="M38" s="73">
        <v>30</v>
      </c>
      <c r="N38" s="74">
        <f t="shared" si="9"/>
        <v>0.87</v>
      </c>
      <c r="O38" s="75">
        <f t="shared" si="10"/>
        <v>240</v>
      </c>
      <c r="P38" s="76">
        <f t="shared" si="11"/>
        <v>855.90000000000009</v>
      </c>
      <c r="Q38" s="90" t="s">
        <v>145</v>
      </c>
    </row>
    <row r="39" spans="1:18">
      <c r="A39" s="38">
        <v>36</v>
      </c>
      <c r="B39" s="28">
        <v>25</v>
      </c>
      <c r="C39" s="28">
        <v>81</v>
      </c>
      <c r="D39" s="29" t="s">
        <v>139</v>
      </c>
      <c r="E39" s="30" t="s">
        <v>146</v>
      </c>
      <c r="F39" s="29"/>
      <c r="G39" s="29" t="s">
        <v>147</v>
      </c>
      <c r="H39" s="28">
        <v>12</v>
      </c>
      <c r="I39" s="107" t="s">
        <v>81</v>
      </c>
      <c r="J39" s="28">
        <v>2.9000000000000001E-2</v>
      </c>
      <c r="K39" s="71">
        <v>8</v>
      </c>
      <c r="L39" s="72">
        <v>28.53</v>
      </c>
      <c r="M39" s="73"/>
      <c r="N39" s="74">
        <f t="shared" si="9"/>
        <v>0</v>
      </c>
      <c r="O39" s="75">
        <f t="shared" si="10"/>
        <v>0</v>
      </c>
      <c r="P39" s="76">
        <f t="shared" si="11"/>
        <v>0</v>
      </c>
      <c r="Q39" s="90" t="s">
        <v>148</v>
      </c>
    </row>
    <row r="40" spans="1:18">
      <c r="A40" s="38">
        <v>37</v>
      </c>
      <c r="B40" s="28">
        <v>25</v>
      </c>
      <c r="C40" s="28">
        <v>49</v>
      </c>
      <c r="D40" s="29" t="s">
        <v>149</v>
      </c>
      <c r="E40" s="30" t="s">
        <v>150</v>
      </c>
      <c r="F40" s="29" t="s">
        <v>151</v>
      </c>
      <c r="G40" s="29" t="s">
        <v>152</v>
      </c>
      <c r="H40" s="43">
        <v>15</v>
      </c>
      <c r="I40" s="87" t="s">
        <v>40</v>
      </c>
      <c r="J40" s="97">
        <v>0.04</v>
      </c>
      <c r="K40" s="98">
        <v>10</v>
      </c>
      <c r="L40" s="72">
        <v>49.13</v>
      </c>
      <c r="M40" s="73">
        <v>30</v>
      </c>
      <c r="N40" s="74">
        <f t="shared" si="9"/>
        <v>1.2</v>
      </c>
      <c r="O40" s="75">
        <f t="shared" si="10"/>
        <v>300</v>
      </c>
      <c r="P40" s="76">
        <f t="shared" si="11"/>
        <v>1473.9</v>
      </c>
      <c r="Q40" s="90" t="s">
        <v>153</v>
      </c>
    </row>
    <row r="41" spans="1:18">
      <c r="A41" s="38">
        <v>38</v>
      </c>
      <c r="B41" s="28">
        <v>25</v>
      </c>
      <c r="C41" s="28">
        <v>49</v>
      </c>
      <c r="D41" s="29" t="s">
        <v>149</v>
      </c>
      <c r="E41" s="30" t="s">
        <v>154</v>
      </c>
      <c r="F41" s="29" t="s">
        <v>155</v>
      </c>
      <c r="G41" s="29" t="s">
        <v>156</v>
      </c>
      <c r="H41" s="43">
        <v>15</v>
      </c>
      <c r="I41" s="87" t="s">
        <v>40</v>
      </c>
      <c r="J41" s="97">
        <v>0.04</v>
      </c>
      <c r="K41" s="98">
        <v>10</v>
      </c>
      <c r="L41" s="72">
        <v>49.52</v>
      </c>
      <c r="M41" s="73"/>
      <c r="N41" s="74">
        <f t="shared" si="9"/>
        <v>0</v>
      </c>
      <c r="O41" s="75">
        <f t="shared" si="10"/>
        <v>0</v>
      </c>
      <c r="P41" s="76">
        <f t="shared" si="11"/>
        <v>0</v>
      </c>
      <c r="Q41" s="90" t="s">
        <v>157</v>
      </c>
    </row>
    <row r="42" spans="1:18" ht="25.5">
      <c r="A42" s="38">
        <v>39</v>
      </c>
      <c r="B42" s="28">
        <v>25</v>
      </c>
      <c r="C42" s="28">
        <v>36</v>
      </c>
      <c r="D42" s="29" t="s">
        <v>158</v>
      </c>
      <c r="E42" s="30" t="s">
        <v>159</v>
      </c>
      <c r="F42" s="29" t="s">
        <v>160</v>
      </c>
      <c r="G42" s="29" t="s">
        <v>161</v>
      </c>
      <c r="H42" s="43">
        <v>12</v>
      </c>
      <c r="I42" s="87" t="s">
        <v>40</v>
      </c>
      <c r="J42" s="97">
        <v>3.2000000000000001E-2</v>
      </c>
      <c r="K42" s="98">
        <v>8</v>
      </c>
      <c r="L42" s="72">
        <v>57.11</v>
      </c>
      <c r="M42" s="73">
        <v>30</v>
      </c>
      <c r="N42" s="74">
        <f t="shared" si="9"/>
        <v>0.96</v>
      </c>
      <c r="O42" s="75">
        <f t="shared" si="10"/>
        <v>240</v>
      </c>
      <c r="P42" s="76">
        <f t="shared" si="11"/>
        <v>1713.3</v>
      </c>
      <c r="Q42" s="108" t="s">
        <v>162</v>
      </c>
    </row>
    <row r="43" spans="1:18">
      <c r="A43" s="38">
        <v>42</v>
      </c>
      <c r="B43" s="28">
        <v>25</v>
      </c>
      <c r="C43" s="28">
        <v>30</v>
      </c>
      <c r="D43" s="29" t="s">
        <v>163</v>
      </c>
      <c r="E43" s="30" t="s">
        <v>164</v>
      </c>
      <c r="F43" s="29" t="s">
        <v>165</v>
      </c>
      <c r="G43" s="29" t="s">
        <v>166</v>
      </c>
      <c r="H43" s="43">
        <v>11</v>
      </c>
      <c r="I43" s="87" t="s">
        <v>40</v>
      </c>
      <c r="J43" s="97">
        <v>5.2999999999999999E-2</v>
      </c>
      <c r="K43" s="98">
        <v>12</v>
      </c>
      <c r="L43" s="72">
        <v>38.659999999999997</v>
      </c>
      <c r="M43" s="73">
        <v>30</v>
      </c>
      <c r="N43" s="74">
        <f t="shared" si="9"/>
        <v>1.5899999999999999</v>
      </c>
      <c r="O43" s="75">
        <f t="shared" si="10"/>
        <v>360</v>
      </c>
      <c r="P43" s="76">
        <f t="shared" si="11"/>
        <v>1159.8</v>
      </c>
      <c r="Q43" s="108" t="s">
        <v>167</v>
      </c>
    </row>
    <row r="44" spans="1:18">
      <c r="A44" s="38">
        <v>43</v>
      </c>
      <c r="B44" s="28">
        <v>25</v>
      </c>
      <c r="C44" s="28">
        <v>30</v>
      </c>
      <c r="D44" s="29" t="s">
        <v>163</v>
      </c>
      <c r="E44" s="30" t="s">
        <v>168</v>
      </c>
      <c r="F44" s="29" t="s">
        <v>169</v>
      </c>
      <c r="G44" s="29" t="s">
        <v>170</v>
      </c>
      <c r="H44" s="43">
        <v>11</v>
      </c>
      <c r="I44" s="87" t="s">
        <v>40</v>
      </c>
      <c r="J44" s="97">
        <v>5.2999999999999999E-2</v>
      </c>
      <c r="K44" s="98">
        <v>12</v>
      </c>
      <c r="L44" s="72">
        <v>38.659999999999997</v>
      </c>
      <c r="M44" s="73"/>
      <c r="N44" s="74">
        <f t="shared" si="9"/>
        <v>0</v>
      </c>
      <c r="O44" s="75">
        <f t="shared" si="10"/>
        <v>0</v>
      </c>
      <c r="P44" s="76">
        <f t="shared" si="11"/>
        <v>0</v>
      </c>
      <c r="Q44" s="90" t="s">
        <v>171</v>
      </c>
    </row>
    <row r="45" spans="1:18" ht="25.5">
      <c r="A45" s="38">
        <v>47</v>
      </c>
      <c r="B45" s="28">
        <v>30</v>
      </c>
      <c r="C45" s="28">
        <v>42</v>
      </c>
      <c r="D45" s="29" t="s">
        <v>172</v>
      </c>
      <c r="E45" s="30" t="s">
        <v>173</v>
      </c>
      <c r="F45" s="29"/>
      <c r="G45" s="29" t="s">
        <v>174</v>
      </c>
      <c r="H45" s="28">
        <v>20</v>
      </c>
      <c r="I45" s="107" t="s">
        <v>26</v>
      </c>
      <c r="J45" s="28">
        <v>5.2999999999999999E-2</v>
      </c>
      <c r="K45" s="71">
        <v>14</v>
      </c>
      <c r="L45" s="72">
        <v>40.14</v>
      </c>
      <c r="M45" s="73">
        <v>30</v>
      </c>
      <c r="N45" s="74">
        <f t="shared" si="9"/>
        <v>1.5899999999999999</v>
      </c>
      <c r="O45" s="75">
        <f t="shared" si="10"/>
        <v>420</v>
      </c>
      <c r="P45" s="76">
        <f t="shared" si="11"/>
        <v>1204.2</v>
      </c>
      <c r="Q45" s="109" t="s">
        <v>175</v>
      </c>
    </row>
    <row r="46" spans="1:18" ht="25.5">
      <c r="A46" s="38">
        <v>51</v>
      </c>
      <c r="B46" s="28">
        <v>30</v>
      </c>
      <c r="C46" s="28">
        <v>49</v>
      </c>
      <c r="D46" s="29" t="s">
        <v>176</v>
      </c>
      <c r="E46" s="30" t="s">
        <v>177</v>
      </c>
      <c r="F46" s="29" t="s">
        <v>178</v>
      </c>
      <c r="G46" s="29" t="s">
        <v>179</v>
      </c>
      <c r="H46" s="43">
        <v>25</v>
      </c>
      <c r="I46" s="87" t="s">
        <v>26</v>
      </c>
      <c r="J46" s="97">
        <v>5.8999999999999997E-2</v>
      </c>
      <c r="K46" s="98">
        <v>14.5</v>
      </c>
      <c r="L46" s="72">
        <v>41.23</v>
      </c>
      <c r="M46" s="73">
        <v>30</v>
      </c>
      <c r="N46" s="74">
        <f t="shared" si="9"/>
        <v>1.77</v>
      </c>
      <c r="O46" s="75">
        <f t="shared" si="10"/>
        <v>435</v>
      </c>
      <c r="P46" s="76">
        <f t="shared" si="11"/>
        <v>1236.8999999999999</v>
      </c>
      <c r="Q46" s="108" t="s">
        <v>180</v>
      </c>
      <c r="R46" s="11" t="s">
        <v>64</v>
      </c>
    </row>
    <row r="47" spans="1:18">
      <c r="A47" s="38">
        <v>54</v>
      </c>
      <c r="B47" s="28">
        <v>30</v>
      </c>
      <c r="C47" s="28">
        <v>49</v>
      </c>
      <c r="D47" s="29" t="s">
        <v>181</v>
      </c>
      <c r="E47" s="30" t="s">
        <v>182</v>
      </c>
      <c r="F47" s="29" t="s">
        <v>183</v>
      </c>
      <c r="G47" s="29" t="s">
        <v>184</v>
      </c>
      <c r="H47" s="28">
        <v>16</v>
      </c>
      <c r="I47" s="87" t="s">
        <v>26</v>
      </c>
      <c r="J47" s="28">
        <v>5.8999999999999997E-2</v>
      </c>
      <c r="K47" s="71">
        <v>14.5</v>
      </c>
      <c r="L47" s="72">
        <v>42.72</v>
      </c>
      <c r="M47" s="73">
        <v>30</v>
      </c>
      <c r="N47" s="74">
        <f t="shared" si="9"/>
        <v>1.77</v>
      </c>
      <c r="O47" s="75">
        <f t="shared" si="10"/>
        <v>435</v>
      </c>
      <c r="P47" s="76">
        <f t="shared" si="11"/>
        <v>1281.5999999999999</v>
      </c>
      <c r="Q47" s="90" t="s">
        <v>185</v>
      </c>
    </row>
    <row r="48" spans="1:18">
      <c r="A48" s="38">
        <v>55</v>
      </c>
      <c r="B48" s="28">
        <v>30</v>
      </c>
      <c r="C48" s="28">
        <v>49</v>
      </c>
      <c r="D48" s="29" t="s">
        <v>149</v>
      </c>
      <c r="E48" s="30" t="s">
        <v>186</v>
      </c>
      <c r="F48" s="29" t="s">
        <v>187</v>
      </c>
      <c r="G48" s="29" t="s">
        <v>188</v>
      </c>
      <c r="H48" s="28">
        <v>25</v>
      </c>
      <c r="I48" s="87" t="s">
        <v>26</v>
      </c>
      <c r="J48" s="28">
        <v>3.5000000000000003E-2</v>
      </c>
      <c r="K48" s="71">
        <v>13.5</v>
      </c>
      <c r="L48" s="72">
        <v>37.880000000000003</v>
      </c>
      <c r="M48" s="73"/>
      <c r="N48" s="74">
        <f t="shared" si="9"/>
        <v>0</v>
      </c>
      <c r="O48" s="75">
        <f t="shared" si="10"/>
        <v>0</v>
      </c>
      <c r="P48" s="76">
        <f t="shared" si="11"/>
        <v>0</v>
      </c>
      <c r="Q48" s="90" t="s">
        <v>189</v>
      </c>
    </row>
    <row r="49" spans="1:18">
      <c r="A49" s="38">
        <v>56</v>
      </c>
      <c r="B49" s="28">
        <v>30</v>
      </c>
      <c r="C49" s="28">
        <v>49</v>
      </c>
      <c r="D49" s="29" t="s">
        <v>149</v>
      </c>
      <c r="E49" s="30" t="s">
        <v>190</v>
      </c>
      <c r="F49" s="29" t="s">
        <v>191</v>
      </c>
      <c r="G49" s="29" t="s">
        <v>192</v>
      </c>
      <c r="H49" s="28">
        <v>25</v>
      </c>
      <c r="I49" s="87" t="s">
        <v>26</v>
      </c>
      <c r="J49" s="28">
        <v>3.5000000000000003E-2</v>
      </c>
      <c r="K49" s="71">
        <v>13.5</v>
      </c>
      <c r="L49" s="72">
        <v>38.08</v>
      </c>
      <c r="M49" s="73">
        <v>30</v>
      </c>
      <c r="N49" s="74">
        <f t="shared" si="9"/>
        <v>1.05</v>
      </c>
      <c r="O49" s="75">
        <f t="shared" si="10"/>
        <v>405</v>
      </c>
      <c r="P49" s="76">
        <f t="shared" si="11"/>
        <v>1142.3999999999999</v>
      </c>
      <c r="Q49" s="90" t="s">
        <v>193</v>
      </c>
    </row>
    <row r="50" spans="1:18">
      <c r="A50" s="38">
        <v>57</v>
      </c>
      <c r="B50" s="28">
        <v>30</v>
      </c>
      <c r="C50" s="28">
        <v>49</v>
      </c>
      <c r="D50" s="29" t="s">
        <v>149</v>
      </c>
      <c r="E50" s="30" t="s">
        <v>194</v>
      </c>
      <c r="F50" s="29" t="s">
        <v>195</v>
      </c>
      <c r="G50" s="29" t="s">
        <v>196</v>
      </c>
      <c r="H50" s="28">
        <v>25</v>
      </c>
      <c r="I50" s="87" t="s">
        <v>26</v>
      </c>
      <c r="J50" s="28">
        <v>3.5000000000000003E-2</v>
      </c>
      <c r="K50" s="71">
        <v>13.5</v>
      </c>
      <c r="L50" s="72">
        <v>37.81</v>
      </c>
      <c r="M50" s="73"/>
      <c r="N50" s="74">
        <f t="shared" si="9"/>
        <v>0</v>
      </c>
      <c r="O50" s="75">
        <f t="shared" si="10"/>
        <v>0</v>
      </c>
      <c r="P50" s="76">
        <f t="shared" si="11"/>
        <v>0</v>
      </c>
      <c r="Q50" s="90" t="s">
        <v>197</v>
      </c>
    </row>
    <row r="51" spans="1:18">
      <c r="A51" s="38">
        <v>58</v>
      </c>
      <c r="B51" s="28">
        <v>30</v>
      </c>
      <c r="C51" s="28">
        <v>49</v>
      </c>
      <c r="D51" s="29" t="s">
        <v>149</v>
      </c>
      <c r="E51" s="30" t="s">
        <v>198</v>
      </c>
      <c r="F51" s="29" t="s">
        <v>199</v>
      </c>
      <c r="G51" s="29" t="s">
        <v>200</v>
      </c>
      <c r="H51" s="28">
        <v>10</v>
      </c>
      <c r="I51" s="87" t="s">
        <v>26</v>
      </c>
      <c r="J51" s="28">
        <v>3.5000000000000003E-2</v>
      </c>
      <c r="K51" s="71">
        <v>13.5</v>
      </c>
      <c r="L51" s="72">
        <v>34.72</v>
      </c>
      <c r="M51" s="73">
        <v>30</v>
      </c>
      <c r="N51" s="74">
        <f t="shared" si="9"/>
        <v>1.05</v>
      </c>
      <c r="O51" s="75">
        <f t="shared" si="10"/>
        <v>405</v>
      </c>
      <c r="P51" s="76">
        <f t="shared" si="11"/>
        <v>1041.5999999999999</v>
      </c>
      <c r="Q51" s="108" t="s">
        <v>201</v>
      </c>
    </row>
    <row r="52" spans="1:18" ht="25.5">
      <c r="A52" s="38">
        <v>61</v>
      </c>
      <c r="B52" s="28">
        <v>30</v>
      </c>
      <c r="C52" s="28">
        <v>49</v>
      </c>
      <c r="D52" s="29" t="s">
        <v>149</v>
      </c>
      <c r="E52" s="30" t="s">
        <v>202</v>
      </c>
      <c r="F52" s="29" t="s">
        <v>203</v>
      </c>
      <c r="G52" s="29" t="s">
        <v>204</v>
      </c>
      <c r="H52" s="43">
        <v>20</v>
      </c>
      <c r="I52" s="87" t="s">
        <v>26</v>
      </c>
      <c r="J52" s="97">
        <v>3.5000000000000003E-2</v>
      </c>
      <c r="K52" s="98">
        <v>13.5</v>
      </c>
      <c r="L52" s="72">
        <v>39.130000000000003</v>
      </c>
      <c r="M52" s="73">
        <v>30</v>
      </c>
      <c r="N52" s="74">
        <f t="shared" si="9"/>
        <v>1.05</v>
      </c>
      <c r="O52" s="75">
        <f t="shared" si="10"/>
        <v>405</v>
      </c>
      <c r="P52" s="76">
        <f t="shared" si="11"/>
        <v>1173.9000000000001</v>
      </c>
      <c r="Q52" s="90" t="s">
        <v>205</v>
      </c>
    </row>
    <row r="53" spans="1:18" ht="25.5">
      <c r="A53" s="38">
        <v>62</v>
      </c>
      <c r="B53" s="28">
        <v>30</v>
      </c>
      <c r="C53" s="28">
        <v>49</v>
      </c>
      <c r="D53" s="29" t="s">
        <v>149</v>
      </c>
      <c r="E53" s="30" t="s">
        <v>206</v>
      </c>
      <c r="F53" s="29" t="s">
        <v>207</v>
      </c>
      <c r="G53" s="29" t="s">
        <v>208</v>
      </c>
      <c r="H53" s="43">
        <v>25</v>
      </c>
      <c r="I53" s="87" t="s">
        <v>26</v>
      </c>
      <c r="J53" s="97">
        <v>3.5000000000000003E-2</v>
      </c>
      <c r="K53" s="98">
        <v>13.5</v>
      </c>
      <c r="L53" s="72">
        <v>39.130000000000003</v>
      </c>
      <c r="M53" s="73">
        <v>30</v>
      </c>
      <c r="N53" s="74">
        <f t="shared" si="9"/>
        <v>1.05</v>
      </c>
      <c r="O53" s="75">
        <f t="shared" si="10"/>
        <v>405</v>
      </c>
      <c r="P53" s="76">
        <f t="shared" si="11"/>
        <v>1173.9000000000001</v>
      </c>
      <c r="Q53" s="90" t="s">
        <v>209</v>
      </c>
    </row>
    <row r="54" spans="1:18">
      <c r="A54" s="38">
        <v>69</v>
      </c>
      <c r="B54" s="28">
        <v>50</v>
      </c>
      <c r="C54" s="28">
        <v>16</v>
      </c>
      <c r="D54" s="29" t="s">
        <v>210</v>
      </c>
      <c r="E54" s="30" t="s">
        <v>211</v>
      </c>
      <c r="F54" s="29" t="s">
        <v>212</v>
      </c>
      <c r="G54" s="29" t="s">
        <v>213</v>
      </c>
      <c r="H54" s="28">
        <v>40</v>
      </c>
      <c r="I54" s="87" t="s">
        <v>26</v>
      </c>
      <c r="J54" s="28">
        <v>3.6999999999999998E-2</v>
      </c>
      <c r="K54" s="71">
        <v>10</v>
      </c>
      <c r="L54" s="72">
        <v>45.25</v>
      </c>
      <c r="M54" s="73">
        <v>30</v>
      </c>
      <c r="N54" s="74">
        <f t="shared" ref="N54" si="12">M54*J54</f>
        <v>1.1099999999999999</v>
      </c>
      <c r="O54" s="75">
        <f t="shared" si="10"/>
        <v>300</v>
      </c>
      <c r="P54" s="76">
        <f t="shared" si="11"/>
        <v>1357.5</v>
      </c>
      <c r="Q54" s="108" t="s">
        <v>214</v>
      </c>
    </row>
    <row r="55" spans="1:18" ht="15.75">
      <c r="A55" s="94" t="s">
        <v>215</v>
      </c>
      <c r="B55" s="95"/>
      <c r="C55" s="102"/>
      <c r="D55" s="103"/>
      <c r="E55" s="103"/>
      <c r="F55" s="96"/>
      <c r="G55" s="96" t="s">
        <v>65</v>
      </c>
      <c r="H55" s="95"/>
      <c r="I55" s="95"/>
      <c r="J55" s="99"/>
      <c r="K55" s="99"/>
      <c r="L55" s="99"/>
      <c r="M55" s="99"/>
      <c r="N55" s="99"/>
      <c r="O55" s="99"/>
      <c r="P55" s="99"/>
      <c r="Q55" s="106"/>
      <c r="R55" s="11" t="s">
        <v>64</v>
      </c>
    </row>
    <row r="56" spans="1:18">
      <c r="A56" s="28"/>
      <c r="B56" s="28"/>
      <c r="C56" s="28"/>
      <c r="D56" s="29"/>
      <c r="E56" s="30"/>
      <c r="F56" s="29"/>
      <c r="G56" s="29"/>
      <c r="H56" s="43"/>
      <c r="I56" s="87"/>
      <c r="J56" s="97"/>
      <c r="K56" s="98"/>
      <c r="L56" s="72"/>
      <c r="M56" s="73"/>
      <c r="N56" s="74"/>
      <c r="O56" s="75"/>
      <c r="P56" s="76"/>
      <c r="Q56" s="108"/>
    </row>
    <row r="57" spans="1:18">
      <c r="A57" s="28"/>
      <c r="B57" s="28"/>
      <c r="C57" s="28"/>
      <c r="D57" s="29"/>
      <c r="E57" s="30"/>
      <c r="F57" s="29"/>
      <c r="G57" s="29"/>
      <c r="H57" s="43"/>
      <c r="I57" s="87"/>
      <c r="J57" s="97"/>
      <c r="K57" s="98"/>
      <c r="L57" s="72"/>
      <c r="M57" s="73"/>
      <c r="N57" s="74"/>
      <c r="O57" s="75"/>
      <c r="P57" s="76"/>
      <c r="Q57" s="108"/>
    </row>
    <row r="58" spans="1:18">
      <c r="A58" s="28"/>
      <c r="B58" s="28"/>
      <c r="C58" s="28"/>
      <c r="D58" s="29"/>
      <c r="E58" s="30"/>
      <c r="F58" s="29"/>
      <c r="G58" s="29"/>
      <c r="H58" s="43"/>
      <c r="I58" s="87"/>
      <c r="J58" s="97"/>
      <c r="K58" s="98"/>
      <c r="L58" s="72"/>
      <c r="M58" s="73"/>
      <c r="N58" s="74"/>
      <c r="O58" s="75"/>
      <c r="P58" s="76"/>
      <c r="Q58" s="108"/>
    </row>
    <row r="59" spans="1:18">
      <c r="K59"/>
      <c r="L59"/>
    </row>
    <row r="60" spans="1:18">
      <c r="K60"/>
      <c r="L60"/>
    </row>
    <row r="61" spans="1:18">
      <c r="K61"/>
      <c r="L61"/>
      <c r="R61" s="93"/>
    </row>
    <row r="62" spans="1:18">
      <c r="K62"/>
      <c r="L62"/>
      <c r="R62" s="93"/>
    </row>
    <row r="63" spans="1:18">
      <c r="J63" s="104"/>
      <c r="K63" s="105"/>
    </row>
    <row r="64" spans="1:18">
      <c r="J64" s="104"/>
      <c r="K64" s="105"/>
    </row>
    <row r="65" spans="10:18" ht="15.75">
      <c r="J65" s="104"/>
      <c r="K65" s="105"/>
      <c r="R65" s="92"/>
    </row>
    <row r="66" spans="10:18">
      <c r="J66" s="104"/>
      <c r="K66" s="105"/>
    </row>
    <row r="67" spans="10:18">
      <c r="J67" s="104"/>
      <c r="K67" s="105"/>
    </row>
    <row r="68" spans="10:18">
      <c r="J68" s="104"/>
      <c r="K68" s="105"/>
    </row>
    <row r="69" spans="10:18">
      <c r="J69" s="104"/>
      <c r="K69" s="105"/>
    </row>
    <row r="70" spans="10:18">
      <c r="J70" s="104"/>
      <c r="K70" s="105"/>
    </row>
    <row r="71" spans="10:18">
      <c r="J71" s="104"/>
      <c r="K71" s="105"/>
    </row>
    <row r="72" spans="10:18">
      <c r="J72" s="104"/>
      <c r="K72" s="105"/>
    </row>
    <row r="73" spans="10:18">
      <c r="J73" s="104"/>
      <c r="K73" s="105"/>
    </row>
    <row r="74" spans="10:18">
      <c r="J74" s="104"/>
      <c r="K74" s="105"/>
    </row>
    <row r="75" spans="10:18">
      <c r="J75" s="104"/>
      <c r="K75" s="105"/>
    </row>
    <row r="76" spans="10:18">
      <c r="J76" s="104"/>
      <c r="K76" s="105"/>
    </row>
    <row r="77" spans="10:18">
      <c r="J77" s="104"/>
      <c r="K77" s="105"/>
    </row>
    <row r="81" spans="1:18" s="3" customFormat="1" ht="18" customHeight="1">
      <c r="A81"/>
      <c r="B81"/>
      <c r="C81"/>
      <c r="D81" s="4"/>
      <c r="E81" s="4"/>
      <c r="F81" s="4"/>
      <c r="G81" s="4"/>
      <c r="H81"/>
      <c r="I81"/>
      <c r="J81"/>
      <c r="K81" s="5"/>
      <c r="L81" s="6"/>
      <c r="M81" s="7"/>
      <c r="N81" s="7"/>
      <c r="O81" s="8"/>
      <c r="P81" s="9"/>
      <c r="Q81" s="10"/>
      <c r="R81" s="11"/>
    </row>
    <row r="88" spans="1:18" ht="26.25" customHeight="1"/>
    <row r="89" spans="1:18" ht="18" customHeight="1"/>
    <row r="106" spans="18:18" ht="29.25" customHeight="1"/>
    <row r="112" spans="18:18" ht="15.75">
      <c r="R112" s="92"/>
    </row>
    <row r="127" spans="1:18" ht="32.25" customHeight="1"/>
    <row r="128" spans="1:18" s="3" customFormat="1" ht="18" customHeight="1">
      <c r="A128"/>
      <c r="B128"/>
      <c r="C128"/>
      <c r="D128" s="4"/>
      <c r="E128" s="4"/>
      <c r="F128" s="4"/>
      <c r="G128" s="4"/>
      <c r="H128"/>
      <c r="I128"/>
      <c r="J128"/>
      <c r="K128" s="5"/>
      <c r="L128" s="6"/>
      <c r="M128" s="7"/>
      <c r="N128" s="7"/>
      <c r="O128" s="8"/>
      <c r="P128" s="9"/>
      <c r="Q128" s="10"/>
      <c r="R128" s="11"/>
    </row>
    <row r="130" ht="27.75" customHeight="1"/>
    <row r="145" ht="28.5" customHeight="1"/>
    <row r="155" ht="120" customHeight="1"/>
    <row r="166" ht="26.25" customHeight="1"/>
    <row r="169" ht="26.25" customHeight="1"/>
    <row r="178" spans="18:18" ht="28.9" customHeight="1"/>
    <row r="182" spans="18:18" ht="15.75">
      <c r="R182" s="92"/>
    </row>
    <row r="187" spans="18:18" ht="27" customHeight="1"/>
    <row r="198" spans="1:18" s="3" customFormat="1" ht="18" customHeight="1">
      <c r="A198"/>
      <c r="B198"/>
      <c r="C198"/>
      <c r="D198" s="4"/>
      <c r="E198" s="4"/>
      <c r="F198" s="4"/>
      <c r="G198" s="4"/>
      <c r="H198"/>
      <c r="I198"/>
      <c r="J198"/>
      <c r="K198" s="5"/>
      <c r="L198" s="6"/>
      <c r="M198" s="7"/>
      <c r="N198" s="7"/>
      <c r="O198" s="8"/>
      <c r="P198" s="9"/>
      <c r="Q198" s="10"/>
      <c r="R198" s="11"/>
    </row>
    <row r="199" spans="1:18" ht="348" customHeight="1"/>
    <row r="200" spans="1:18" ht="274.89999999999998" customHeight="1"/>
  </sheetData>
  <autoFilter ref="A8:R8" xr:uid="{00000000-0001-0000-0000-000000000000}"/>
  <mergeCells count="4">
    <mergeCell ref="O3:O5"/>
    <mergeCell ref="P3:P5"/>
    <mergeCell ref="M3:M5"/>
    <mergeCell ref="N3:N5"/>
  </mergeCells>
  <hyperlinks>
    <hyperlink ref="Q20" r:id="rId1" xr:uid="{00000000-0004-0000-0000-00000B000000}"/>
    <hyperlink ref="Q21" r:id="rId2" xr:uid="{00000000-0004-0000-0000-00000C000000}"/>
    <hyperlink ref="Q22" r:id="rId3" xr:uid="{00000000-0004-0000-0000-00000D000000}"/>
    <hyperlink ref="Q45" r:id="rId4" xr:uid="{00000000-0004-0000-0000-000013000000}"/>
    <hyperlink ref="Q37" r:id="rId5" xr:uid="{00000000-0004-0000-0000-000017000000}"/>
    <hyperlink ref="Q38" r:id="rId6" xr:uid="{00000000-0004-0000-0000-000018000000}"/>
    <hyperlink ref="Q39" r:id="rId7" xr:uid="{00000000-0004-0000-0000-000019000000}"/>
    <hyperlink ref="Q47" r:id="rId8" xr:uid="{00000000-0004-0000-0000-000023000000}"/>
    <hyperlink ref="Q53" r:id="rId9" xr:uid="{00000000-0004-0000-0000-00002A000000}"/>
    <hyperlink ref="Q12" r:id="rId10" tooltip="https://youtu.be/eX98APT2uTQ" xr:uid="{00000000-0004-0000-0000-00002B000000}"/>
    <hyperlink ref="Q9" r:id="rId11" xr:uid="{00000000-0004-0000-0000-000039000000}"/>
    <hyperlink ref="Q10" r:id="rId12" xr:uid="{00000000-0004-0000-0000-00003A000000}"/>
    <hyperlink ref="Q11" r:id="rId13" xr:uid="{00000000-0004-0000-0000-00003B000000}"/>
    <hyperlink ref="Q14" r:id="rId14" tooltip="https://youtu.be/E73YafIoW-g " xr:uid="{00000000-0004-0000-0000-00003C000000}"/>
    <hyperlink ref="Q15" r:id="rId15" xr:uid="{00000000-0004-0000-0000-00003D000000}"/>
    <hyperlink ref="Q16" r:id="rId16" xr:uid="{00000000-0004-0000-0000-00003E000000}"/>
    <hyperlink ref="Q17" r:id="rId17" xr:uid="{00000000-0004-0000-0000-00003F000000}"/>
    <hyperlink ref="Q18" r:id="rId18" xr:uid="{00000000-0004-0000-0000-000040000000}"/>
    <hyperlink ref="Q54" r:id="rId19" xr:uid="{6D75FCEE-F9CC-41C6-A5A3-F85C0368CF34}"/>
    <hyperlink ref="Q35" r:id="rId20" xr:uid="{5FBC876A-14A4-415E-BFD2-8492ED3E70BF}"/>
    <hyperlink ref="Q34" r:id="rId21" xr:uid="{8198DD86-E1B8-40F6-BD45-49862DCD9DA0}"/>
    <hyperlink ref="Q33" r:id="rId22" xr:uid="{CD0295B6-0AE0-4CEA-8FF4-162A5B6461D6}"/>
    <hyperlink ref="Q31" r:id="rId23" xr:uid="{750A38C2-2472-4FF2-B3EB-CE3E14A47710}"/>
    <hyperlink ref="Q29" r:id="rId24" xr:uid="{70CD8C6F-02BB-407D-9768-1115033C42F7}"/>
    <hyperlink ref="Q28" r:id="rId25" xr:uid="{E97562ED-A47E-4537-B6CB-573D993A35A3}"/>
    <hyperlink ref="Q46" r:id="rId26" xr:uid="{C4D22BBD-D7F6-431F-882B-25CFD5B25CBE}"/>
    <hyperlink ref="Q51" r:id="rId27" xr:uid="{523E9285-DC97-4034-848A-3C80DB94813D}"/>
    <hyperlink ref="Q43" r:id="rId28" xr:uid="{81BED1CE-9ED1-4757-A3FC-0B1FCEF7DCBF}"/>
    <hyperlink ref="Q42" r:id="rId29" xr:uid="{9DDC6F25-07B3-4B9B-8554-15EBAB3DC813}"/>
    <hyperlink ref="Q32" r:id="rId30" xr:uid="{6896095F-33CE-4D2B-93F9-DC62A1E8AB3F}"/>
    <hyperlink ref="Q26" r:id="rId31" xr:uid="{1CA581AC-DB90-4B22-B07D-A6180FC6D936}"/>
    <hyperlink ref="Q23" r:id="rId32" xr:uid="{80234962-6617-44C0-BFA9-B7A50E043474}"/>
  </hyperlinks>
  <printOptions horizontalCentered="1"/>
  <pageMargins left="0.31496062992126" right="0.31496062992126" top="0.35433070866141703" bottom="0.35433070866141703" header="0.31496062992126" footer="0.31496062992126"/>
  <pageSetup scale="65" fitToHeight="10" orientation="landscape" horizontalDpi="4294967293" r:id="rId33"/>
  <headerFoot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Wizard 1.4G Pricelist</vt:lpstr>
      <vt:lpstr>'Wizard 1.4G Pricelist'!Print_Titles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William Fayling</cp:lastModifiedBy>
  <cp:lastPrinted>2025-12-03T19:16:18Z</cp:lastPrinted>
  <dcterms:created xsi:type="dcterms:W3CDTF">2015-06-05T18:17:00Z</dcterms:created>
  <dcterms:modified xsi:type="dcterms:W3CDTF">2025-12-03T19:25:55Z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4877F7A7C1B841039BF463A72C647AAC</vt:lpwstr>
  </property>
  <property fmtid="{D5CDD505-2E9C-101B-9397-08002B2CF9AE}" pid="3" name="KSOProductBuildVer">
    <vt:lpwstr>2052-12.1.0.21541</vt:lpwstr>
  </property>
</Properties>
</file>